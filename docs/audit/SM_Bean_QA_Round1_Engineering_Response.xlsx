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Test Results" sheetId="2" state="visible" r:id="rId2"/>
    <sheet name="Bugs" sheetId="3" state="visible" r:id="rId3"/>
    <sheet name="Design &amp; UX" sheetId="4" state="visible" r:id="rId4"/>
    <sheet name="Exit Criteria" sheetId="5" state="visible" r:id="rId5"/>
  </sheets>
  <definedNames>
    <definedName name="_xlnm._FilterDatabase" localSheetId="1" hidden="1">'Test Results'!$A$1:$K$144</definedName>
    <definedName name="_xlnm._FilterDatabase" localSheetId="2" hidden="1">'Bugs'!$A$1:$M$31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color theme="1"/>
      <sz val="11"/>
    </font>
    <font>
      <name val="Arial"/>
      <charset val="1"/>
      <family val="0"/>
      <color rgb="FF4B5563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B91C1C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color rgb="FFFFFFFF"/>
      <sz val="9"/>
    </font>
    <font>
      <name val="Arial"/>
      <charset val="1"/>
      <family val="0"/>
      <color rgb="FF1C1917"/>
      <sz val="9"/>
    </font>
  </fonts>
  <fills count="18">
    <fill>
      <patternFill/>
    </fill>
    <fill>
      <patternFill patternType="gray125"/>
    </fill>
    <fill>
      <patternFill patternType="solid">
        <fgColor rgb="FF1F2937"/>
        <bgColor rgb="FF1C1917"/>
      </patternFill>
    </fill>
    <fill>
      <patternFill patternType="solid">
        <fgColor rgb="FFDCFCE7"/>
        <bgColor rgb="FFF3F4F6"/>
      </patternFill>
    </fill>
    <fill>
      <patternFill patternType="solid">
        <fgColor rgb="FFFCA5A5"/>
        <bgColor rgb="FFFDBA74"/>
      </patternFill>
    </fill>
    <fill>
      <patternFill patternType="solid">
        <fgColor rgb="FFFEE2E2"/>
        <bgColor rgb="FFE5E7EB"/>
      </patternFill>
    </fill>
    <fill>
      <patternFill patternType="solid">
        <fgColor rgb="FFFDBA74"/>
        <bgColor rgb="FFFCA5A5"/>
      </patternFill>
    </fill>
    <fill>
      <patternFill patternType="solid">
        <fgColor rgb="FFFEF3C7"/>
        <bgColor rgb="FFFFF7ED"/>
      </patternFill>
    </fill>
    <fill>
      <patternFill patternType="solid">
        <fgColor rgb="FFFDE68A"/>
        <bgColor rgb="FFFEF3C7"/>
      </patternFill>
    </fill>
    <fill>
      <patternFill patternType="solid">
        <fgColor rgb="FFE5E7EB"/>
        <bgColor rgb="FFF3F4F6"/>
      </patternFill>
    </fill>
    <fill>
      <patternFill patternType="solid">
        <fgColor rgb="FFF3F4F6"/>
        <bgColor rgb="FFFFF7ED"/>
      </patternFill>
    </fill>
    <fill>
      <patternFill patternType="solid">
        <fgColor rgb="FFC2410C"/>
        <bgColor rgb="FFB91C1C"/>
      </patternFill>
    </fill>
    <fill>
      <patternFill patternType="solid">
        <fgColor rgb="FFF97316"/>
        <bgColor rgb="FFFF9900"/>
      </patternFill>
    </fill>
    <fill>
      <patternFill patternType="solid">
        <fgColor rgb="FFFFF7ED"/>
        <bgColor rgb="FFF3F4F6"/>
      </patternFill>
    </fill>
    <fill>
      <patternFill patternType="solid">
        <fgColor rgb="FF1C1917"/>
        <bgColor rgb="FF1F2937"/>
      </patternFill>
    </fill>
    <fill>
      <patternFill patternType="solid">
        <fgColor rgb="FF57534E"/>
        <bgColor rgb="FF4B5563"/>
      </patternFill>
    </fill>
    <fill>
      <patternFill patternType="solid">
        <fgColor rgb="FF15803D"/>
        <bgColor rgb="FF008080"/>
      </patternFill>
    </fill>
    <fill>
      <patternFill patternType="solid">
        <fgColor rgb="FFB91C1C"/>
        <bgColor rgb="FFC2410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11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general" vertical="bottom"/>
    </xf>
    <xf numFmtId="0" fontId="13" fillId="13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12" fillId="15" borderId="0" applyAlignment="1" pivotButton="0" quotePrefix="0" xfId="0">
      <alignment horizontal="general" vertical="bottom"/>
    </xf>
    <xf numFmtId="0" fontId="12" fillId="16" borderId="0" applyAlignment="1" pivotButton="0" quotePrefix="0" xfId="0">
      <alignment horizontal="general" vertical="bottom"/>
    </xf>
    <xf numFmtId="0" fontId="12" fillId="17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0" fillId="2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general" vertical="bottom"/>
    </xf>
    <xf numFmtId="0" fontId="12" fillId="11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general" vertical="bottom"/>
    </xf>
    <xf numFmtId="0" fontId="13" fillId="13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12" fillId="15" borderId="0" applyAlignment="1" pivotButton="0" quotePrefix="0" xfId="0">
      <alignment horizontal="general" vertical="bottom"/>
    </xf>
    <xf numFmtId="0" fontId="12" fillId="16" borderId="0" applyAlignment="1" pivotButton="0" quotePrefix="0" xfId="0">
      <alignment horizontal="general" vertical="bottom"/>
    </xf>
    <xf numFmtId="0" fontId="12" fillId="17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>
          <bgColor rgb="FFFEE2E2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FDBA74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E5E7EB"/>
        </patternFill>
      </fill>
    </dxf>
    <dxf>
      <fill>
        <patternFill>
          <bgColor rgb="FFF3F4F6"/>
        </patternFill>
      </fill>
    </dxf>
    <dxf>
      <fill>
        <patternFill>
          <bgColor rgb="FFFCA5A5"/>
        </patternFill>
      </fill>
    </dxf>
    <dxf>
      <fill>
        <patternFill>
          <bgColor rgb="FFFDBA74"/>
        </patternFill>
      </fill>
    </dxf>
    <dxf>
      <fill>
        <patternFill>
          <bgColor rgb="FFFDE68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FEE2E2"/>
      <rgbColor rgb="FF57534E"/>
      <rgbColor rgb="FF9999FF"/>
      <rgbColor rgb="FFB91C1C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DE68A"/>
      <rgbColor rgb="FFFFF7ED"/>
      <rgbColor rgb="FFFCA5A5"/>
      <rgbColor rgb="FFCC99FF"/>
      <rgbColor rgb="FFFDBA74"/>
      <rgbColor rgb="FF3366FF"/>
      <rgbColor rgb="FF33CCCC"/>
      <rgbColor rgb="FF99CC00"/>
      <rgbColor rgb="FFFFCC00"/>
      <rgbColor rgb="FFFF9900"/>
      <rgbColor rgb="FFF97316"/>
      <rgbColor rgb="FF6B7280"/>
      <rgbColor rgb="FF969696"/>
      <rgbColor rgb="FF003366"/>
      <rgbColor rgb="FF339966"/>
      <rgbColor rgb="FF003300"/>
      <rgbColor rgb="FF1C1917"/>
      <rgbColor rgb="FFC2410C"/>
      <rgbColor rgb="FF993366"/>
      <rgbColor rgb="FF4B5563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" min="1" max="1"/>
    <col width="10" customWidth="1" style="30" min="2" max="4"/>
    <col width="12" customWidth="1" style="30" min="5" max="5"/>
    <col width="16" customWidth="1" style="30" min="6" max="6"/>
  </cols>
  <sheetData>
    <row r="1" ht="19.7" customHeight="1" s="31">
      <c r="A1" s="32" t="inlineStr">
        <is>
          <t>SM Bean — Closed-Beta QA Round 1: Results</t>
        </is>
      </c>
      <c r="B1" s="33" t="n"/>
      <c r="C1" s="33" t="n"/>
      <c r="D1" s="33" t="n"/>
      <c r="E1" s="33" t="n"/>
      <c r="F1" s="33" t="n"/>
    </row>
    <row r="2" ht="15" customHeight="1" s="31">
      <c r="A2" s="34" t="inlineStr">
        <is>
          <t>Run 27 Sep 2026 on production (sm-bean-production-eb50.up.railway.app) · Chrome desktop + in-app browser mobile emulation · Tester: Claude (acting as QA agency) for Hemant</t>
        </is>
      </c>
      <c r="B2" s="33" t="n"/>
      <c r="C2" s="33" t="n"/>
      <c r="D2" s="33" t="n"/>
      <c r="E2" s="33" t="n"/>
      <c r="F2" s="33" t="n"/>
    </row>
    <row r="3" ht="15" customHeight="1" s="31">
      <c r="A3" s="33" t="n"/>
      <c r="B3" s="33" t="n"/>
      <c r="C3" s="33" t="n"/>
      <c r="D3" s="33" t="n"/>
      <c r="E3" s="33" t="n"/>
      <c r="F3" s="33" t="n"/>
    </row>
    <row r="4" ht="15" customHeight="1" s="31">
      <c r="A4" s="35" t="inlineStr">
        <is>
          <t>RECOMMENDATION</t>
        </is>
      </c>
      <c r="B4" s="33" t="n"/>
      <c r="C4" s="33" t="n"/>
      <c r="D4" s="33" t="n"/>
      <c r="E4" s="33" t="n"/>
      <c r="F4" s="33" t="n"/>
    </row>
    <row r="5" ht="17.35" customHeight="1" s="31">
      <c r="A5" s="36">
        <f>IF(COUNTIFS(Bugs!B:B,"P0",Bugs!J:J,"Open")&gt;0,"NO-GO — "&amp;COUNTIFS(Bugs!B:B,"P0",Bugs!J:J,"Open")&amp;" open P0 bugs","Check exit criteria")</f>
        <v/>
      </c>
      <c r="B5" s="33" t="n"/>
      <c r="C5" s="33" t="n"/>
      <c r="D5" s="33" t="n"/>
      <c r="E5" s="33" t="n"/>
      <c r="F5" s="33" t="n"/>
    </row>
    <row r="6" ht="15" customHeight="1" s="31">
      <c r="A6" s="33" t="n"/>
      <c r="B6" s="33" t="n"/>
      <c r="C6" s="33" t="n"/>
      <c r="D6" s="33" t="n"/>
      <c r="E6" s="33" t="n"/>
      <c r="F6" s="33" t="n"/>
    </row>
    <row r="7" ht="15" customHeight="1" s="31">
      <c r="A7" s="37" t="inlineStr">
        <is>
          <t>Result by status</t>
        </is>
      </c>
      <c r="B7" s="33" t="n"/>
      <c r="C7" s="33" t="n"/>
      <c r="D7" s="33" t="n"/>
      <c r="E7" s="37" t="inlineStr">
        <is>
          <t>Open bugs by severity</t>
        </is>
      </c>
      <c r="F7" s="33" t="n"/>
    </row>
    <row r="8" ht="15" customHeight="1" s="31">
      <c r="A8" s="38" t="inlineStr">
        <is>
          <t>Status</t>
        </is>
      </c>
      <c r="B8" s="38" t="inlineStr">
        <is>
          <t>Tests</t>
        </is>
      </c>
      <c r="C8" s="38" t="inlineStr">
        <is>
          <t>% of total</t>
        </is>
      </c>
      <c r="D8" s="33" t="n"/>
      <c r="E8" s="38" t="inlineStr">
        <is>
          <t>Severity</t>
        </is>
      </c>
      <c r="F8" s="38" t="inlineStr">
        <is>
          <t>Open bugs</t>
        </is>
      </c>
    </row>
    <row r="9" ht="15" customHeight="1" s="31">
      <c r="A9" s="39" t="inlineStr">
        <is>
          <t>Pass</t>
        </is>
      </c>
      <c r="B9" s="33">
        <f>COUNTIF('Test Results'!F:F,A9)</f>
        <v/>
      </c>
      <c r="C9" s="40">
        <f>IFERROR(B9/$B$14,0)</f>
        <v/>
      </c>
      <c r="D9" s="33" t="n"/>
      <c r="E9" s="41" t="inlineStr">
        <is>
          <t>P0</t>
        </is>
      </c>
      <c r="F9" s="33">
        <f>COUNTIFS(Bugs!B:B,E9,Bugs!J:J,"Open")</f>
        <v/>
      </c>
    </row>
    <row r="10" ht="15" customHeight="1" s="31">
      <c r="A10" s="42" t="inlineStr">
        <is>
          <t>Fail</t>
        </is>
      </c>
      <c r="B10" s="33">
        <f>COUNTIF('Test Results'!F:F,A10)</f>
        <v/>
      </c>
      <c r="C10" s="40">
        <f>IFERROR(B10/$B$14,0)</f>
        <v/>
      </c>
      <c r="D10" s="33" t="n"/>
      <c r="E10" s="43" t="inlineStr">
        <is>
          <t>P1</t>
        </is>
      </c>
      <c r="F10" s="33">
        <f>COUNTIFS(Bugs!B:B,E10,Bugs!J:J,"Open")</f>
        <v/>
      </c>
    </row>
    <row r="11" ht="15" customHeight="1" s="31">
      <c r="A11" s="44" t="inlineStr">
        <is>
          <t>Partial</t>
        </is>
      </c>
      <c r="B11" s="33">
        <f>COUNTIF('Test Results'!F:F,A11)</f>
        <v/>
      </c>
      <c r="C11" s="40">
        <f>IFERROR(B11/$B$14,0)</f>
        <v/>
      </c>
      <c r="D11" s="33" t="n"/>
      <c r="E11" s="45" t="inlineStr">
        <is>
          <t>P2</t>
        </is>
      </c>
      <c r="F11" s="33">
        <f>COUNTIFS(Bugs!B:B,E11,Bugs!J:J,"Open")</f>
        <v/>
      </c>
    </row>
    <row r="12" ht="15" customHeight="1" s="31">
      <c r="A12" s="46" t="inlineStr">
        <is>
          <t>Blocked</t>
        </is>
      </c>
      <c r="B12" s="33">
        <f>COUNTIF('Test Results'!F:F,A12)</f>
        <v/>
      </c>
      <c r="C12" s="40">
        <f>IFERROR(B12/$B$14,0)</f>
        <v/>
      </c>
      <c r="D12" s="33" t="n"/>
      <c r="E12" s="46" t="inlineStr">
        <is>
          <t>P3</t>
        </is>
      </c>
      <c r="F12" s="33">
        <f>COUNTIFS(Bugs!B:B,E12,Bugs!J:J,"Open")</f>
        <v/>
      </c>
    </row>
    <row r="13" ht="15" customHeight="1" s="31">
      <c r="A13" s="47" t="inlineStr">
        <is>
          <t>Not run</t>
        </is>
      </c>
      <c r="B13" s="33">
        <f>COUNTIF('Test Results'!F:F,A13)</f>
        <v/>
      </c>
      <c r="C13" s="40">
        <f>IFERROR(B13/$B$14,0)</f>
        <v/>
      </c>
      <c r="D13" s="33" t="n"/>
      <c r="E13" s="37" t="inlineStr">
        <is>
          <t>Total</t>
        </is>
      </c>
      <c r="F13" s="37">
        <f>SUM(F9:F12)</f>
        <v/>
      </c>
    </row>
    <row r="14" ht="15" customHeight="1" s="31">
      <c r="A14" s="37" t="inlineStr">
        <is>
          <t>Total</t>
        </is>
      </c>
      <c r="B14" s="37">
        <f>SUM(B9:B13)</f>
        <v/>
      </c>
      <c r="C14" s="33" t="n"/>
      <c r="D14" s="33" t="n"/>
      <c r="E14" s="33" t="n"/>
      <c r="F14" s="33" t="n"/>
    </row>
    <row r="15" ht="15" customHeight="1" s="31">
      <c r="A15" s="33" t="n"/>
      <c r="B15" s="33" t="n"/>
      <c r="C15" s="33" t="n"/>
      <c r="D15" s="33" t="n"/>
      <c r="E15" s="33" t="n"/>
      <c r="F15" s="33" t="n"/>
    </row>
    <row r="16" ht="15" customHeight="1" s="31">
      <c r="A16" s="37" t="inlineStr">
        <is>
          <t>Failures by suite</t>
        </is>
      </c>
      <c r="B16" s="33" t="n"/>
      <c r="C16" s="33" t="n"/>
      <c r="D16" s="33" t="n"/>
      <c r="E16" s="33" t="n"/>
      <c r="F16" s="33" t="n"/>
    </row>
    <row r="17" ht="15" customHeight="1" s="31">
      <c r="A17" s="38" t="inlineStr">
        <is>
          <t>Suite</t>
        </is>
      </c>
      <c r="B17" s="38" t="inlineStr">
        <is>
          <t>Tests</t>
        </is>
      </c>
      <c r="C17" s="38" t="inlineStr">
        <is>
          <t>Pass</t>
        </is>
      </c>
      <c r="D17" s="38" t="inlineStr">
        <is>
          <t>Fail</t>
        </is>
      </c>
      <c r="E17" s="38" t="inlineStr">
        <is>
          <t>Partial</t>
        </is>
      </c>
      <c r="F17" s="38" t="inlineStr">
        <is>
          <t>Blocked / Not run</t>
        </is>
      </c>
    </row>
    <row r="18" ht="15" customHeight="1" s="31">
      <c r="A18" s="33" t="inlineStr">
        <is>
          <t>Pre-conditions</t>
        </is>
      </c>
      <c r="B18" s="33">
        <f>COUNTIF('Test Results'!B:B,A18)</f>
        <v/>
      </c>
      <c r="C18" s="33">
        <f>COUNTIFS('Test Results'!B:B,A18,'Test Results'!F:F,"Pass")</f>
        <v/>
      </c>
      <c r="D18" s="33">
        <f>COUNTIFS('Test Results'!B:B,A18,'Test Results'!F:F,"Fail")</f>
        <v/>
      </c>
      <c r="E18" s="33">
        <f>COUNTIFS('Test Results'!B:B,A18,'Test Results'!F:F,"Partial")</f>
        <v/>
      </c>
      <c r="F18" s="33">
        <f>COUNTIFS('Test Results'!B:B,A18,'Test Results'!F:F,"Blocked")+COUNTIFS('Test Results'!B:B,A18,'Test Results'!F:F,"Not run")</f>
        <v/>
      </c>
    </row>
    <row r="19" ht="15" customHeight="1" s="31">
      <c r="A19" s="33" t="inlineStr">
        <is>
          <t>Smoke</t>
        </is>
      </c>
      <c r="B19" s="33">
        <f>COUNTIF('Test Results'!B:B,A19)</f>
        <v/>
      </c>
      <c r="C19" s="33">
        <f>COUNTIFS('Test Results'!B:B,A19,'Test Results'!F:F,"Pass")</f>
        <v/>
      </c>
      <c r="D19" s="33">
        <f>COUNTIFS('Test Results'!B:B,A19,'Test Results'!F:F,"Fail")</f>
        <v/>
      </c>
      <c r="E19" s="33">
        <f>COUNTIFS('Test Results'!B:B,A19,'Test Results'!F:F,"Partial")</f>
        <v/>
      </c>
      <c r="F19" s="33">
        <f>COUNTIFS('Test Results'!B:B,A19,'Test Results'!F:F,"Blocked")+COUNTIFS('Test Results'!B:B,A19,'Test Results'!F:F,"Not run")</f>
        <v/>
      </c>
    </row>
    <row r="20" ht="15" customHeight="1" s="31">
      <c r="A20" s="33" t="inlineStr">
        <is>
          <t>A. Sign-in</t>
        </is>
      </c>
      <c r="B20" s="33">
        <f>COUNTIF('Test Results'!B:B,A20)</f>
        <v/>
      </c>
      <c r="C20" s="33">
        <f>COUNTIFS('Test Results'!B:B,A20,'Test Results'!F:F,"Pass")</f>
        <v/>
      </c>
      <c r="D20" s="33">
        <f>COUNTIFS('Test Results'!B:B,A20,'Test Results'!F:F,"Fail")</f>
        <v/>
      </c>
      <c r="E20" s="33">
        <f>COUNTIFS('Test Results'!B:B,A20,'Test Results'!F:F,"Partial")</f>
        <v/>
      </c>
      <c r="F20" s="33">
        <f>COUNTIFS('Test Results'!B:B,A20,'Test Results'!F:F,"Blocked")+COUNTIFS('Test Results'!B:B,A20,'Test Results'!F:F,"Not run")</f>
        <v/>
      </c>
    </row>
    <row r="21" ht="15" customHeight="1" s="31">
      <c r="A21" s="33" t="inlineStr">
        <is>
          <t>B. Onboarding</t>
        </is>
      </c>
      <c r="B21" s="33">
        <f>COUNTIF('Test Results'!B:B,A21)</f>
        <v/>
      </c>
      <c r="C21" s="33">
        <f>COUNTIFS('Test Results'!B:B,A21,'Test Results'!F:F,"Pass")</f>
        <v/>
      </c>
      <c r="D21" s="33">
        <f>COUNTIFS('Test Results'!B:B,A21,'Test Results'!F:F,"Fail")</f>
        <v/>
      </c>
      <c r="E21" s="33">
        <f>COUNTIFS('Test Results'!B:B,A21,'Test Results'!F:F,"Partial")</f>
        <v/>
      </c>
      <c r="F21" s="33">
        <f>COUNTIFS('Test Results'!B:B,A21,'Test Results'!F:F,"Blocked")+COUNTIFS('Test Results'!B:B,A21,'Test Results'!F:F,"Not run")</f>
        <v/>
      </c>
    </row>
    <row r="22" ht="15" customHeight="1" s="31">
      <c r="A22" s="33" t="inlineStr">
        <is>
          <t>C. Org/workspace</t>
        </is>
      </c>
      <c r="B22" s="33">
        <f>COUNTIF('Test Results'!B:B,A22)</f>
        <v/>
      </c>
      <c r="C22" s="33">
        <f>COUNTIFS('Test Results'!B:B,A22,'Test Results'!F:F,"Pass")</f>
        <v/>
      </c>
      <c r="D22" s="33">
        <f>COUNTIFS('Test Results'!B:B,A22,'Test Results'!F:F,"Fail")</f>
        <v/>
      </c>
      <c r="E22" s="33">
        <f>COUNTIFS('Test Results'!B:B,A22,'Test Results'!F:F,"Partial")</f>
        <v/>
      </c>
      <c r="F22" s="33">
        <f>COUNTIFS('Test Results'!B:B,A22,'Test Results'!F:F,"Blocked")+COUNTIFS('Test Results'!B:B,A22,'Test Results'!F:F,"Not run")</f>
        <v/>
      </c>
    </row>
    <row r="23" ht="15" customHeight="1" s="31">
      <c r="A23" s="33" t="inlineStr">
        <is>
          <t>D. Social accounts</t>
        </is>
      </c>
      <c r="B23" s="33">
        <f>COUNTIF('Test Results'!B:B,A23)</f>
        <v/>
      </c>
      <c r="C23" s="33">
        <f>COUNTIFS('Test Results'!B:B,A23,'Test Results'!F:F,"Pass")</f>
        <v/>
      </c>
      <c r="D23" s="33">
        <f>COUNTIFS('Test Results'!B:B,A23,'Test Results'!F:F,"Fail")</f>
        <v/>
      </c>
      <c r="E23" s="33">
        <f>COUNTIFS('Test Results'!B:B,A23,'Test Results'!F:F,"Partial")</f>
        <v/>
      </c>
      <c r="F23" s="33">
        <f>COUNTIFS('Test Results'!B:B,A23,'Test Results'!F:F,"Blocked")+COUNTIFS('Test Results'!B:B,A23,'Test Results'!F:F,"Not run")</f>
        <v/>
      </c>
    </row>
    <row r="24" ht="15" customHeight="1" s="31">
      <c r="A24" s="33" t="inlineStr">
        <is>
          <t>E. Composer</t>
        </is>
      </c>
      <c r="B24" s="33">
        <f>COUNTIF('Test Results'!B:B,A24)</f>
        <v/>
      </c>
      <c r="C24" s="33">
        <f>COUNTIFS('Test Results'!B:B,A24,'Test Results'!F:F,"Pass")</f>
        <v/>
      </c>
      <c r="D24" s="33">
        <f>COUNTIFS('Test Results'!B:B,A24,'Test Results'!F:F,"Fail")</f>
        <v/>
      </c>
      <c r="E24" s="33">
        <f>COUNTIFS('Test Results'!B:B,A24,'Test Results'!F:F,"Partial")</f>
        <v/>
      </c>
      <c r="F24" s="33">
        <f>COUNTIFS('Test Results'!B:B,A24,'Test Results'!F:F,"Blocked")+COUNTIFS('Test Results'!B:B,A24,'Test Results'!F:F,"Not run")</f>
        <v/>
      </c>
    </row>
    <row r="25" ht="15" customHeight="1" s="31">
      <c r="A25" s="33" t="inlineStr">
        <is>
          <t>F. Calendar</t>
        </is>
      </c>
      <c r="B25" s="33">
        <f>COUNTIF('Test Results'!B:B,A25)</f>
        <v/>
      </c>
      <c r="C25" s="33">
        <f>COUNTIFS('Test Results'!B:B,A25,'Test Results'!F:F,"Pass")</f>
        <v/>
      </c>
      <c r="D25" s="33">
        <f>COUNTIFS('Test Results'!B:B,A25,'Test Results'!F:F,"Fail")</f>
        <v/>
      </c>
      <c r="E25" s="33">
        <f>COUNTIFS('Test Results'!B:B,A25,'Test Results'!F:F,"Partial")</f>
        <v/>
      </c>
      <c r="F25" s="33">
        <f>COUNTIFS('Test Results'!B:B,A25,'Test Results'!F:F,"Blocked")+COUNTIFS('Test Results'!B:B,A25,'Test Results'!F:F,"Not run")</f>
        <v/>
      </c>
    </row>
    <row r="26" ht="15" customHeight="1" s="31">
      <c r="A26" s="33" t="inlineStr">
        <is>
          <t>G. Approvals/portal</t>
        </is>
      </c>
      <c r="B26" s="33">
        <f>COUNTIF('Test Results'!B:B,A26)</f>
        <v/>
      </c>
      <c r="C26" s="33">
        <f>COUNTIFS('Test Results'!B:B,A26,'Test Results'!F:F,"Pass")</f>
        <v/>
      </c>
      <c r="D26" s="33">
        <f>COUNTIFS('Test Results'!B:B,A26,'Test Results'!F:F,"Fail")</f>
        <v/>
      </c>
      <c r="E26" s="33">
        <f>COUNTIFS('Test Results'!B:B,A26,'Test Results'!F:F,"Partial")</f>
        <v/>
      </c>
      <c r="F26" s="33">
        <f>COUNTIFS('Test Results'!B:B,A26,'Test Results'!F:F,"Blocked")+COUNTIFS('Test Results'!B:B,A26,'Test Results'!F:F,"Not run")</f>
        <v/>
      </c>
    </row>
    <row r="27" ht="15" customHeight="1" s="31">
      <c r="A27" s="33" t="inlineStr">
        <is>
          <t>H. CSV import</t>
        </is>
      </c>
      <c r="B27" s="33">
        <f>COUNTIF('Test Results'!B:B,A27)</f>
        <v/>
      </c>
      <c r="C27" s="33">
        <f>COUNTIFS('Test Results'!B:B,A27,'Test Results'!F:F,"Pass")</f>
        <v/>
      </c>
      <c r="D27" s="33">
        <f>COUNTIFS('Test Results'!B:B,A27,'Test Results'!F:F,"Fail")</f>
        <v/>
      </c>
      <c r="E27" s="33">
        <f>COUNTIFS('Test Results'!B:B,A27,'Test Results'!F:F,"Partial")</f>
        <v/>
      </c>
      <c r="F27" s="33">
        <f>COUNTIFS('Test Results'!B:B,A27,'Test Results'!F:F,"Blocked")+COUNTIFS('Test Results'!B:B,A27,'Test Results'!F:F,"Not run")</f>
        <v/>
      </c>
    </row>
    <row r="28" ht="15" customHeight="1" s="31">
      <c r="A28" s="33" t="inlineStr">
        <is>
          <t>I. Media library</t>
        </is>
      </c>
      <c r="B28" s="33">
        <f>COUNTIF('Test Results'!B:B,A28)</f>
        <v/>
      </c>
      <c r="C28" s="33">
        <f>COUNTIFS('Test Results'!B:B,A28,'Test Results'!F:F,"Pass")</f>
        <v/>
      </c>
      <c r="D28" s="33">
        <f>COUNTIFS('Test Results'!B:B,A28,'Test Results'!F:F,"Fail")</f>
        <v/>
      </c>
      <c r="E28" s="33">
        <f>COUNTIFS('Test Results'!B:B,A28,'Test Results'!F:F,"Partial")</f>
        <v/>
      </c>
      <c r="F28" s="33">
        <f>COUNTIFS('Test Results'!B:B,A28,'Test Results'!F:F,"Blocked")+COUNTIFS('Test Results'!B:B,A28,'Test Results'!F:F,"Not run")</f>
        <v/>
      </c>
    </row>
    <row r="29" ht="15" customHeight="1" s="31">
      <c r="A29" s="33" t="inlineStr">
        <is>
          <t>J. Beta features</t>
        </is>
      </c>
      <c r="B29" s="33">
        <f>COUNTIF('Test Results'!B:B,A29)</f>
        <v/>
      </c>
      <c r="C29" s="33">
        <f>COUNTIFS('Test Results'!B:B,A29,'Test Results'!F:F,"Pass")</f>
        <v/>
      </c>
      <c r="D29" s="33">
        <f>COUNTIFS('Test Results'!B:B,A29,'Test Results'!F:F,"Fail")</f>
        <v/>
      </c>
      <c r="E29" s="33">
        <f>COUNTIFS('Test Results'!B:B,A29,'Test Results'!F:F,"Partial")</f>
        <v/>
      </c>
      <c r="F29" s="33">
        <f>COUNTIFS('Test Results'!B:B,A29,'Test Results'!F:F,"Blocked")+COUNTIFS('Test Results'!B:B,A29,'Test Results'!F:F,"Not run")</f>
        <v/>
      </c>
    </row>
    <row r="30" ht="15" customHeight="1" s="31">
      <c r="A30" s="33" t="inlineStr">
        <is>
          <t>K. Permissions</t>
        </is>
      </c>
      <c r="B30" s="33">
        <f>COUNTIF('Test Results'!B:B,A30)</f>
        <v/>
      </c>
      <c r="C30" s="33">
        <f>COUNTIFS('Test Results'!B:B,A30,'Test Results'!F:F,"Pass")</f>
        <v/>
      </c>
      <c r="D30" s="33">
        <f>COUNTIFS('Test Results'!B:B,A30,'Test Results'!F:F,"Fail")</f>
        <v/>
      </c>
      <c r="E30" s="33">
        <f>COUNTIFS('Test Results'!B:B,A30,'Test Results'!F:F,"Partial")</f>
        <v/>
      </c>
      <c r="F30" s="33">
        <f>COUNTIFS('Test Results'!B:B,A30,'Test Results'!F:F,"Blocked")+COUNTIFS('Test Results'!B:B,A30,'Test Results'!F:F,"Not run")</f>
        <v/>
      </c>
    </row>
    <row r="31" ht="15" customHeight="1" s="31">
      <c r="A31" s="33" t="inlineStr">
        <is>
          <t>L. Tenant isolation</t>
        </is>
      </c>
      <c r="B31" s="33">
        <f>COUNTIF('Test Results'!B:B,A31)</f>
        <v/>
      </c>
      <c r="C31" s="33">
        <f>COUNTIFS('Test Results'!B:B,A31,'Test Results'!F:F,"Pass")</f>
        <v/>
      </c>
      <c r="D31" s="33">
        <f>COUNTIFS('Test Results'!B:B,A31,'Test Results'!F:F,"Fail")</f>
        <v/>
      </c>
      <c r="E31" s="33">
        <f>COUNTIFS('Test Results'!B:B,A31,'Test Results'!F:F,"Partial")</f>
        <v/>
      </c>
      <c r="F31" s="33">
        <f>COUNTIFS('Test Results'!B:B,A31,'Test Results'!F:F,"Blocked")+COUNTIFS('Test Results'!B:B,A31,'Test Results'!F:F,"Not run")</f>
        <v/>
      </c>
    </row>
    <row r="32" ht="15" customHeight="1" s="31">
      <c r="A32" s="33" t="inlineStr">
        <is>
          <t>M. Security</t>
        </is>
      </c>
      <c r="B32" s="33">
        <f>COUNTIF('Test Results'!B:B,A32)</f>
        <v/>
      </c>
      <c r="C32" s="33">
        <f>COUNTIFS('Test Results'!B:B,A32,'Test Results'!F:F,"Pass")</f>
        <v/>
      </c>
      <c r="D32" s="33">
        <f>COUNTIFS('Test Results'!B:B,A32,'Test Results'!F:F,"Fail")</f>
        <v/>
      </c>
      <c r="E32" s="33">
        <f>COUNTIFS('Test Results'!B:B,A32,'Test Results'!F:F,"Partial")</f>
        <v/>
      </c>
      <c r="F32" s="33">
        <f>COUNTIFS('Test Results'!B:B,A32,'Test Results'!F:F,"Blocked")+COUNTIFS('Test Results'!B:B,A32,'Test Results'!F:F,"Not run")</f>
        <v/>
      </c>
    </row>
    <row r="33" ht="15" customHeight="1" s="31">
      <c r="A33" s="33" t="inlineStr">
        <is>
          <t>N. Publisher</t>
        </is>
      </c>
      <c r="B33" s="33">
        <f>COUNTIF('Test Results'!B:B,A33)</f>
        <v/>
      </c>
      <c r="C33" s="33">
        <f>COUNTIFS('Test Results'!B:B,A33,'Test Results'!F:F,"Pass")</f>
        <v/>
      </c>
      <c r="D33" s="33">
        <f>COUNTIFS('Test Results'!B:B,A33,'Test Results'!F:F,"Fail")</f>
        <v/>
      </c>
      <c r="E33" s="33">
        <f>COUNTIFS('Test Results'!B:B,A33,'Test Results'!F:F,"Partial")</f>
        <v/>
      </c>
      <c r="F33" s="33">
        <f>COUNTIFS('Test Results'!B:B,A33,'Test Results'!F:F,"Blocked")+COUNTIFS('Test Results'!B:B,A33,'Test Results'!F:F,"Not run")</f>
        <v/>
      </c>
    </row>
    <row r="34" ht="15" customHeight="1" s="31">
      <c r="A34" s="33" t="inlineStr">
        <is>
          <t>O. Ops</t>
        </is>
      </c>
      <c r="B34" s="33">
        <f>COUNTIF('Test Results'!B:B,A34)</f>
        <v/>
      </c>
      <c r="C34" s="33">
        <f>COUNTIFS('Test Results'!B:B,A34,'Test Results'!F:F,"Pass")</f>
        <v/>
      </c>
      <c r="D34" s="33">
        <f>COUNTIFS('Test Results'!B:B,A34,'Test Results'!F:F,"Fail")</f>
        <v/>
      </c>
      <c r="E34" s="33">
        <f>COUNTIFS('Test Results'!B:B,A34,'Test Results'!F:F,"Partial")</f>
        <v/>
      </c>
      <c r="F34" s="33">
        <f>COUNTIFS('Test Results'!B:B,A34,'Test Results'!F:F,"Blocked")+COUNTIFS('Test Results'!B:B,A34,'Test Results'!F:F,"Not run")</f>
        <v/>
      </c>
    </row>
    <row r="35" ht="15" customHeight="1" s="31">
      <c r="A35" s="33" t="inlineStr">
        <is>
          <t>P. Accessibility</t>
        </is>
      </c>
      <c r="B35" s="33">
        <f>COUNTIF('Test Results'!B:B,A35)</f>
        <v/>
      </c>
      <c r="C35" s="33">
        <f>COUNTIFS('Test Results'!B:B,A35,'Test Results'!F:F,"Pass")</f>
        <v/>
      </c>
      <c r="D35" s="33">
        <f>COUNTIFS('Test Results'!B:B,A35,'Test Results'!F:F,"Fail")</f>
        <v/>
      </c>
      <c r="E35" s="33">
        <f>COUNTIFS('Test Results'!B:B,A35,'Test Results'!F:F,"Partial")</f>
        <v/>
      </c>
      <c r="F35" s="33">
        <f>COUNTIFS('Test Results'!B:B,A35,'Test Results'!F:F,"Blocked")+COUNTIFS('Test Results'!B:B,A35,'Test Results'!F:F,"Not run")</f>
        <v/>
      </c>
    </row>
    <row r="36" ht="15" customHeight="1" s="31">
      <c r="A36" s="33" t="inlineStr">
        <is>
          <t>Q. Mobile</t>
        </is>
      </c>
      <c r="B36" s="33">
        <f>COUNTIF('Test Results'!B:B,A36)</f>
        <v/>
      </c>
      <c r="C36" s="33">
        <f>COUNTIFS('Test Results'!B:B,A36,'Test Results'!F:F,"Pass")</f>
        <v/>
      </c>
      <c r="D36" s="33">
        <f>COUNTIFS('Test Results'!B:B,A36,'Test Results'!F:F,"Fail")</f>
        <v/>
      </c>
      <c r="E36" s="33">
        <f>COUNTIFS('Test Results'!B:B,A36,'Test Results'!F:F,"Partial")</f>
        <v/>
      </c>
      <c r="F36" s="33">
        <f>COUNTIFS('Test Results'!B:B,A36,'Test Results'!F:F,"Blocked")+COUNTIFS('Test Results'!B:B,A36,'Test Results'!F:F,"Not run")</f>
        <v/>
      </c>
    </row>
    <row r="37" ht="15" customHeight="1" s="31">
      <c r="A37" s="33" t="inlineStr">
        <is>
          <t>R. Public pages</t>
        </is>
      </c>
      <c r="B37" s="33">
        <f>COUNTIF('Test Results'!B:B,A37)</f>
        <v/>
      </c>
      <c r="C37" s="33">
        <f>COUNTIFS('Test Results'!B:B,A37,'Test Results'!F:F,"Pass")</f>
        <v/>
      </c>
      <c r="D37" s="33">
        <f>COUNTIFS('Test Results'!B:B,A37,'Test Results'!F:F,"Fail")</f>
        <v/>
      </c>
      <c r="E37" s="33">
        <f>COUNTIFS('Test Results'!B:B,A37,'Test Results'!F:F,"Partial")</f>
        <v/>
      </c>
      <c r="F37" s="33">
        <f>COUNTIFS('Test Results'!B:B,A37,'Test Results'!F:F,"Blocked")+COUNTIFS('Test Results'!B:B,A37,'Test Results'!F:F,"Not run")</f>
        <v/>
      </c>
    </row>
    <row r="38" ht="15" customHeight="1" s="31">
      <c r="A38" s="33" t="inlineStr">
        <is>
          <t>S. Performance</t>
        </is>
      </c>
      <c r="B38" s="33">
        <f>COUNTIF('Test Results'!B:B,A38)</f>
        <v/>
      </c>
      <c r="C38" s="33">
        <f>COUNTIFS('Test Results'!B:B,A38,'Test Results'!F:F,"Pass")</f>
        <v/>
      </c>
      <c r="D38" s="33">
        <f>COUNTIFS('Test Results'!B:B,A38,'Test Results'!F:F,"Fail")</f>
        <v/>
      </c>
      <c r="E38" s="33">
        <f>COUNTIFS('Test Results'!B:B,A38,'Test Results'!F:F,"Partial")</f>
        <v/>
      </c>
      <c r="F38" s="33">
        <f>COUNTIFS('Test Results'!B:B,A38,'Test Results'!F:F,"Blocked")+COUNTIFS('Test Results'!B:B,A38,'Test Results'!F:F,"Not run")</f>
        <v/>
      </c>
    </row>
    <row r="39" ht="15" customHeight="1" s="31">
      <c r="A39" s="33" t="n"/>
      <c r="B39" s="33" t="n"/>
      <c r="C39" s="33" t="n"/>
      <c r="D39" s="33" t="n"/>
      <c r="E39" s="33" t="n"/>
      <c r="F39" s="33" t="n"/>
    </row>
    <row r="40" ht="15" customHeight="1" s="31">
      <c r="A40" s="37" t="inlineStr">
        <is>
          <t>Notes</t>
        </is>
      </c>
      <c r="B40" s="33" t="n"/>
      <c r="C40" s="33" t="n"/>
      <c r="D40" s="33" t="n"/>
      <c r="E40" s="33" t="n"/>
      <c r="F40" s="33" t="n"/>
    </row>
    <row r="41" ht="30" customHeight="1" s="31">
      <c r="A41" s="48" t="inlineStr">
        <is>
          <t>• Why so many 'Blocked': the plan's pre-conditions were not met (no SMTP, no S3, no test social accounts, PR #1 not deployed). Every email, publishing and role test depends on them.</t>
        </is>
      </c>
    </row>
    <row r="42" ht="30" customHeight="1" s="31">
      <c r="A42" s="48" t="inlineStr">
        <is>
          <t>• Test data created and removed: 1 idea, 1 image, 1 ghost post (all deleted). Rejected uploads left nothing behind.</t>
        </is>
      </c>
    </row>
    <row r="43" ht="30" customHeight="1" s="31">
      <c r="A43" s="48" t="inlineStr">
        <is>
          <t>• Test data created and NOT removable by QA: user account qa-test-noninvited@example.com and its 'My Workspace' (created by the A2 signup test). Please delete it from /admin/.</t>
        </is>
      </c>
    </row>
    <row r="44" ht="30" customHeight="1" s="31">
      <c r="A44" s="48" t="inlineStr">
        <is>
          <t>• Nothing was published to any social platform and no one was invited or emailed.</t>
        </is>
      </c>
    </row>
    <row r="45" ht="30" customHeight="1" s="31">
      <c r="A45" s="48" t="inlineStr">
        <is>
          <t>• Edit the Status column on 'Test Results' and the Status column on 'Bugs' during retest — every number on this page recalculates.</t>
        </is>
      </c>
    </row>
  </sheetData>
  <mergeCells count="5">
    <mergeCell ref="A41:F41"/>
    <mergeCell ref="A42:F42"/>
    <mergeCell ref="A44:F44"/>
    <mergeCell ref="A45:F45"/>
    <mergeCell ref="A43:F43"/>
  </mergeCells>
  <conditionalFormatting sqref="D18:D38">
    <cfRule type="cellIs" rank="0" priority="2" equalAverage="0" operator="greater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0" min="1" max="1"/>
    <col width="18" customWidth="1" style="30" min="2" max="2"/>
    <col width="38" customWidth="1" style="30" min="3" max="3"/>
    <col width="26" customWidth="1" style="30" min="4" max="4"/>
    <col width="8" customWidth="1" style="30" min="5" max="5"/>
    <col width="10" customWidth="1" style="30" min="6" max="6"/>
    <col width="70" customWidth="1" style="30" min="7" max="7"/>
    <col width="9" customWidth="1" style="30" min="8" max="8"/>
    <col width="10" customWidth="1" style="30" min="9" max="9"/>
    <col width="11" customWidth="1" style="30" min="10" max="10"/>
    <col width="12" customWidth="1" style="30" min="11" max="11"/>
  </cols>
  <sheetData>
    <row r="1" ht="23.85" customHeight="1" s="31">
      <c r="A1" s="49" t="inlineStr">
        <is>
          <t>Test ID</t>
        </is>
      </c>
      <c r="B1" s="49" t="inlineStr">
        <is>
          <t>Suite</t>
        </is>
      </c>
      <c r="C1" s="49" t="inlineStr">
        <is>
          <t>Test</t>
        </is>
      </c>
      <c r="D1" s="49" t="inlineStr">
        <is>
          <t>Expected</t>
        </is>
      </c>
      <c r="E1" s="49" t="inlineStr">
        <is>
          <t>Priority</t>
        </is>
      </c>
      <c r="F1" s="49" t="inlineStr">
        <is>
          <t>Status</t>
        </is>
      </c>
      <c r="G1" s="49" t="inlineStr">
        <is>
          <t>Actual result / notes</t>
        </is>
      </c>
      <c r="H1" s="49" t="inlineStr">
        <is>
          <t>Bug</t>
        </is>
      </c>
      <c r="I1" s="49" t="inlineStr">
        <is>
          <t>Tester</t>
        </is>
      </c>
      <c r="J1" s="49" t="inlineStr">
        <is>
          <t>Date</t>
        </is>
      </c>
      <c r="K1" s="49" t="inlineStr">
        <is>
          <t>Retest status</t>
        </is>
      </c>
    </row>
    <row r="2" ht="32.8" customHeight="1" s="31">
      <c r="A2" s="50" t="inlineStr">
        <is>
          <t>PRE-1</t>
        </is>
      </c>
      <c r="B2" s="50" t="inlineStr">
        <is>
          <t>Pre-conditions</t>
        </is>
      </c>
      <c r="C2" s="50" t="inlineStr">
        <is>
          <t>Backup taken, PR #1 merged and deployed to web + worker</t>
        </is>
      </c>
      <c r="D2" s="50" t="inlineStr">
        <is>
          <t>Latest code live</t>
        </is>
      </c>
      <c r="E2" s="50" t="inlineStr">
        <is>
          <t>P0</t>
        </is>
      </c>
      <c r="F2" s="50" t="inlineStr">
        <is>
          <t>Fail</t>
        </is>
      </c>
      <c r="G2" s="50" t="inlineStr">
        <is>
          <t>Last deploy on both services is 24 Sep (commit 566b08c 'fix(auth): CSRF_TRUSTED_ORIGINS'). PR #1 fixes are not live: /terms/, /pricing/, /robots.txt 404; logout still a GET link.</t>
        </is>
      </c>
      <c r="H2" s="50" t="inlineStr">
        <is>
          <t>BUG-01</t>
        </is>
      </c>
      <c r="I2" s="50" t="inlineStr">
        <is>
          <t>Claude (QA)</t>
        </is>
      </c>
      <c r="J2" s="50" t="inlineStr">
        <is>
          <t>2026-09-27</t>
        </is>
      </c>
      <c r="K2" s="50" t="n"/>
    </row>
    <row r="3" ht="15" customHeight="1" s="31">
      <c r="A3" s="50" t="inlineStr">
        <is>
          <t>PRE-2</t>
        </is>
      </c>
      <c r="B3" s="50" t="inlineStr">
        <is>
          <t>Pre-conditions</t>
        </is>
      </c>
      <c r="C3" s="50" t="inlineStr">
        <is>
          <t>/health/ returns 200</t>
        </is>
      </c>
      <c r="D3" s="50" t="inlineStr">
        <is>
          <t>200</t>
        </is>
      </c>
      <c r="E3" s="50" t="inlineStr">
        <is>
          <t>P0</t>
        </is>
      </c>
      <c r="F3" s="50" t="inlineStr">
        <is>
          <t>Pass</t>
        </is>
      </c>
      <c r="G3" s="50" t="inlineStr">
        <is>
          <t>200 {"status":"ok"} in ~0.3 s.</t>
        </is>
      </c>
      <c r="H3" s="50" t="n"/>
      <c r="I3" s="50" t="inlineStr">
        <is>
          <t>Claude (QA)</t>
        </is>
      </c>
      <c r="J3" s="50" t="inlineStr">
        <is>
          <t>2026-09-27</t>
        </is>
      </c>
      <c r="K3" s="50" t="n"/>
    </row>
    <row r="4" ht="22.35" customHeight="1" s="31">
      <c r="A4" s="50" t="inlineStr">
        <is>
          <t>PRE-3</t>
        </is>
      </c>
      <c r="B4" s="50" t="inlineStr">
        <is>
          <t>Pre-conditions</t>
        </is>
      </c>
      <c r="C4" s="50" t="inlineStr">
        <is>
          <t>SMTP settings set</t>
        </is>
      </c>
      <c r="D4" s="50" t="inlineStr">
        <is>
          <t>Email works</t>
        </is>
      </c>
      <c r="E4" s="50" t="inlineStr">
        <is>
          <t>P0</t>
        </is>
      </c>
      <c r="F4" s="50" t="inlineStr">
        <is>
          <t>Fail</t>
        </is>
      </c>
      <c r="G4" s="50" t="inlineStr">
        <is>
          <t>No EMAIL_*/SMTP variables on the web service. Invites, resets, magic links and failure alerts cannot be sent.</t>
        </is>
      </c>
      <c r="H4" s="50" t="inlineStr">
        <is>
          <t>BUG-02</t>
        </is>
      </c>
      <c r="I4" s="50" t="inlineStr">
        <is>
          <t>Claude (QA)</t>
        </is>
      </c>
      <c r="J4" s="50" t="inlineStr">
        <is>
          <t>2026-09-27</t>
        </is>
      </c>
      <c r="K4" s="50" t="n"/>
    </row>
    <row r="5" ht="22.35" customHeight="1" s="31">
      <c r="A5" s="50" t="inlineStr">
        <is>
          <t>PRE-4</t>
        </is>
      </c>
      <c r="B5" s="50" t="inlineStr">
        <is>
          <t>Pre-conditions</t>
        </is>
      </c>
      <c r="C5" s="50" t="inlineStr">
        <is>
          <t>S3 media storage set</t>
        </is>
      </c>
      <c r="D5" s="50" t="inlineStr">
        <is>
          <t>Media on S3</t>
        </is>
      </c>
      <c r="E5" s="50" t="inlineStr">
        <is>
          <t>P0</t>
        </is>
      </c>
      <c r="F5" s="50" t="inlineStr">
        <is>
          <t>Fail</t>
        </is>
      </c>
      <c r="G5" s="50" t="inlineStr">
        <is>
          <t>No AWS/S3 variables and no Railway volume. Media is written to the container disk and served from /media/…; it will be lost on the next redeploy.</t>
        </is>
      </c>
      <c r="H5" s="50" t="inlineStr">
        <is>
          <t>BUG-03</t>
        </is>
      </c>
      <c r="I5" s="50" t="inlineStr">
        <is>
          <t>Claude (QA)</t>
        </is>
      </c>
      <c r="J5" s="50" t="inlineStr">
        <is>
          <t>2026-09-27</t>
        </is>
      </c>
      <c r="K5" s="50" t="n"/>
    </row>
    <row r="6" ht="15" customHeight="1" s="31">
      <c r="A6" s="50" t="inlineStr">
        <is>
          <t>PRE-5</t>
        </is>
      </c>
      <c r="B6" s="50" t="inlineStr">
        <is>
          <t>Pre-conditions</t>
        </is>
      </c>
      <c r="C6" s="50" t="inlineStr">
        <is>
          <t>Sentry DSN set</t>
        </is>
      </c>
      <c r="D6" s="50" t="inlineStr">
        <is>
          <t>Errors captured</t>
        </is>
      </c>
      <c r="E6" s="50" t="inlineStr">
        <is>
          <t>P1</t>
        </is>
      </c>
      <c r="F6" s="50" t="inlineStr">
        <is>
          <t>Fail</t>
        </is>
      </c>
      <c r="G6" s="50" t="inlineStr">
        <is>
          <t>No SENTRY_DSN on web or worker.</t>
        </is>
      </c>
      <c r="H6" s="50" t="inlineStr">
        <is>
          <t>BUG-04</t>
        </is>
      </c>
      <c r="I6" s="50" t="inlineStr">
        <is>
          <t>Claude (QA)</t>
        </is>
      </c>
      <c r="J6" s="50" t="inlineStr">
        <is>
          <t>2026-09-27</t>
        </is>
      </c>
      <c r="K6" s="50" t="n"/>
    </row>
    <row r="7" ht="15" customHeight="1" s="31">
      <c r="A7" s="50" t="inlineStr">
        <is>
          <t>PRE-6</t>
        </is>
      </c>
      <c r="B7" s="50" t="inlineStr">
        <is>
          <t>Pre-conditions</t>
        </is>
      </c>
      <c r="C7" s="50" t="inlineStr">
        <is>
          <t>SUPPORT_EMAIL and WEBHOOK_SECRET set</t>
        </is>
      </c>
      <c r="D7" s="50" t="inlineStr">
        <is>
          <t>Set</t>
        </is>
      </c>
      <c r="E7" s="50" t="inlineStr">
        <is>
          <t>P1</t>
        </is>
      </c>
      <c r="F7" s="50" t="inlineStr">
        <is>
          <t>Fail</t>
        </is>
      </c>
      <c r="G7" s="50" t="inlineStr">
        <is>
          <t>Neither variable exists.</t>
        </is>
      </c>
      <c r="H7" s="50" t="inlineStr">
        <is>
          <t>BUG-04</t>
        </is>
      </c>
      <c r="I7" s="50" t="inlineStr">
        <is>
          <t>Claude (QA)</t>
        </is>
      </c>
      <c r="J7" s="50" t="inlineStr">
        <is>
          <t>2026-09-27</t>
        </is>
      </c>
      <c r="K7" s="50" t="n"/>
    </row>
    <row r="8" ht="22.35" customHeight="1" s="31">
      <c r="A8" s="50" t="inlineStr">
        <is>
          <t>PRE-7</t>
        </is>
      </c>
      <c r="B8" s="50" t="inlineStr">
        <is>
          <t>Pre-conditions</t>
        </is>
      </c>
      <c r="C8" s="50" t="inlineStr">
        <is>
          <t>SIGNUP_ALLOWLIST holds testers; SIGNUP_MODE=invite_only</t>
        </is>
      </c>
      <c r="D8" s="50" t="inlineStr">
        <is>
          <t>Invite-only</t>
        </is>
      </c>
      <c r="E8" s="50" t="inlineStr">
        <is>
          <t>P0</t>
        </is>
      </c>
      <c r="F8" s="50" t="inlineStr">
        <is>
          <t>Fail</t>
        </is>
      </c>
      <c r="G8" s="50" t="inlineStr">
        <is>
          <t>Neither variable exists. Open signup confirmed in A2.</t>
        </is>
      </c>
      <c r="H8" s="50" t="inlineStr">
        <is>
          <t>BUG-05</t>
        </is>
      </c>
      <c r="I8" s="50" t="inlineStr">
        <is>
          <t>Claude (QA)</t>
        </is>
      </c>
      <c r="J8" s="50" t="inlineStr">
        <is>
          <t>2026-09-27</t>
        </is>
      </c>
      <c r="K8" s="50" t="n"/>
    </row>
    <row r="9" ht="22.35" customHeight="1" s="31">
      <c r="A9" s="50" t="inlineStr">
        <is>
          <t>PRE-8</t>
        </is>
      </c>
      <c r="B9" s="50" t="inlineStr">
        <is>
          <t>Pre-conditions</t>
        </is>
      </c>
      <c r="C9" s="50" t="inlineStr">
        <is>
          <t>Worker start command is run_worker, restarted after migrations</t>
        </is>
      </c>
      <c r="D9" s="50" t="inlineStr">
        <is>
          <t>run_worker</t>
        </is>
      </c>
      <c r="E9" s="50" t="inlineStr">
        <is>
          <t>P0</t>
        </is>
      </c>
      <c r="F9" s="50" t="inlineStr">
        <is>
          <t>Fail</t>
        </is>
      </c>
      <c r="G9" s="50" t="inlineStr">
        <is>
          <t>Worker start command is 'python manage.py process_tasks'.</t>
        </is>
      </c>
      <c r="H9" s="50" t="inlineStr">
        <is>
          <t>BUG-06</t>
        </is>
      </c>
      <c r="I9" s="50" t="inlineStr">
        <is>
          <t>Claude (QA)</t>
        </is>
      </c>
      <c r="J9" s="50" t="inlineStr">
        <is>
          <t>2026-09-27</t>
        </is>
      </c>
      <c r="K9" s="50" t="n"/>
    </row>
    <row r="10" ht="22.35" customHeight="1" s="31">
      <c r="A10" s="50" t="inlineStr">
        <is>
          <t>PRE-9</t>
        </is>
      </c>
      <c r="B10" s="50" t="inlineStr">
        <is>
          <t>Pre-conditions</t>
        </is>
      </c>
      <c r="C10" s="50" t="inlineStr">
        <is>
          <t>DJANGO_SUPERUSER_* deleted; pre-deploy no longer resets admin</t>
        </is>
      </c>
      <c r="D10" s="50" t="inlineStr">
        <is>
          <t>Removed</t>
        </is>
      </c>
      <c r="E10" s="50" t="inlineStr">
        <is>
          <t>P0</t>
        </is>
      </c>
      <c r="F10" s="50" t="inlineStr">
        <is>
          <t>Fail</t>
        </is>
      </c>
      <c r="G10" s="50" t="inlineStr">
        <is>
          <t>Both variables still set; pre-deploy command re-creates the superuser and resets its password on every deploy.</t>
        </is>
      </c>
      <c r="H10" s="50" t="inlineStr">
        <is>
          <t>BUG-07</t>
        </is>
      </c>
      <c r="I10" s="50" t="inlineStr">
        <is>
          <t>Claude (QA)</t>
        </is>
      </c>
      <c r="J10" s="50" t="inlineStr">
        <is>
          <t>2026-09-27</t>
        </is>
      </c>
      <c r="K10" s="50" t="n"/>
    </row>
    <row r="11" ht="22.35" customHeight="1" s="31">
      <c r="A11" s="50" t="inlineStr">
        <is>
          <t>PRE-10</t>
        </is>
      </c>
      <c r="B11" s="50" t="inlineStr">
        <is>
          <t>Pre-conditions</t>
        </is>
      </c>
      <c r="C11" s="50" t="inlineStr">
        <is>
          <t>Google sign-in client ID/secret + callback registered</t>
        </is>
      </c>
      <c r="D11" s="50" t="inlineStr">
        <is>
          <t>Google works</t>
        </is>
      </c>
      <c r="E11" s="50" t="inlineStr">
        <is>
          <t>P0</t>
        </is>
      </c>
      <c r="F11" s="50" t="inlineStr">
        <is>
          <t>Pass</t>
        </is>
      </c>
      <c r="G11" s="50" t="inlineStr">
        <is>
          <t>GOOGLE_AUTH_CLIENT_ID/SECRET present; owner signed in. One 'Unauthorized: /accounts/google/login/callback/' seen in logs at 06:14 UTC — retest.</t>
        </is>
      </c>
      <c r="H11" s="50" t="n"/>
      <c r="I11" s="50" t="inlineStr">
        <is>
          <t>Claude (QA)</t>
        </is>
      </c>
      <c r="J11" s="50" t="inlineStr">
        <is>
          <t>2026-09-27</t>
        </is>
      </c>
      <c r="K11" s="50" t="n"/>
    </row>
    <row r="12" ht="15" customHeight="1" s="31">
      <c r="A12" s="50" t="inlineStr">
        <is>
          <t>PRE-11</t>
        </is>
      </c>
      <c r="B12" s="50" t="inlineStr">
        <is>
          <t>Pre-conditions</t>
        </is>
      </c>
      <c r="C12" s="50" t="inlineStr">
        <is>
          <t>Terms and Privacy pages live with real text</t>
        </is>
      </c>
      <c r="D12" s="50" t="inlineStr">
        <is>
          <t>Live</t>
        </is>
      </c>
      <c r="E12" s="50" t="inlineStr">
        <is>
          <t>P0</t>
        </is>
      </c>
      <c r="F12" s="50" t="inlineStr">
        <is>
          <t>Fail</t>
        </is>
      </c>
      <c r="G12" s="50" t="inlineStr">
        <is>
          <t>/terms/ and /privacy/ return an unbranded 404.</t>
        </is>
      </c>
      <c r="H12" s="50" t="inlineStr">
        <is>
          <t>BUG-08</t>
        </is>
      </c>
      <c r="I12" s="50" t="inlineStr">
        <is>
          <t>Claude (QA)</t>
        </is>
      </c>
      <c r="J12" s="50" t="inlineStr">
        <is>
          <t>2026-09-27</t>
        </is>
      </c>
      <c r="K12" s="50" t="n"/>
    </row>
    <row r="13" ht="15" customHeight="1" s="31">
      <c r="A13" s="50" t="inlineStr">
        <is>
          <t>PRE-12</t>
        </is>
      </c>
      <c r="B13" s="50" t="inlineStr">
        <is>
          <t>Pre-conditions</t>
        </is>
      </c>
      <c r="C13" s="50" t="inlineStr">
        <is>
          <t>Test social accounts ready</t>
        </is>
      </c>
      <c r="D13" s="50" t="inlineStr">
        <is>
          <t>Connected</t>
        </is>
      </c>
      <c r="E13" s="50" t="inlineStr">
        <is>
          <t>P0</t>
        </is>
      </c>
      <c r="F13" s="50" t="inlineStr">
        <is>
          <t>Fail</t>
        </is>
      </c>
      <c r="G13" s="50" t="inlineStr">
        <is>
          <t>Workspace has 0 connected accounts. All publishing tests blocked.</t>
        </is>
      </c>
      <c r="H13" s="50" t="inlineStr">
        <is>
          <t>BUG-09</t>
        </is>
      </c>
      <c r="I13" s="50" t="inlineStr">
        <is>
          <t>Claude (QA)</t>
        </is>
      </c>
      <c r="J13" s="50" t="inlineStr">
        <is>
          <t>2026-09-27</t>
        </is>
      </c>
      <c r="K13" s="50" t="n"/>
    </row>
    <row r="14" ht="15" customHeight="1" s="31">
      <c r="A14" s="50" t="inlineStr">
        <is>
          <t>SMK-1</t>
        </is>
      </c>
      <c r="B14" s="50" t="inlineStr">
        <is>
          <t>Smoke</t>
        </is>
      </c>
      <c r="C14" s="50" t="inlineStr">
        <is>
          <t>/health/ returns 200</t>
        </is>
      </c>
      <c r="D14" s="50" t="inlineStr">
        <is>
          <t>200</t>
        </is>
      </c>
      <c r="E14" s="50" t="inlineStr">
        <is>
          <t>P0</t>
        </is>
      </c>
      <c r="F14" s="50" t="inlineStr">
        <is>
          <t>Pass</t>
        </is>
      </c>
      <c r="G14" s="50" t="inlineStr">
        <is>
          <t>OK.</t>
        </is>
      </c>
      <c r="H14" s="50" t="n"/>
      <c r="I14" s="50" t="inlineStr">
        <is>
          <t>Claude (QA)</t>
        </is>
      </c>
      <c r="J14" s="50" t="inlineStr">
        <is>
          <t>2026-09-27</t>
        </is>
      </c>
      <c r="K14" s="50" t="n"/>
    </row>
    <row r="15" ht="15" customHeight="1" s="31">
      <c r="A15" s="50" t="inlineStr">
        <is>
          <t>SMK-2</t>
        </is>
      </c>
      <c r="B15" s="50" t="inlineStr">
        <is>
          <t>Smoke</t>
        </is>
      </c>
      <c r="C15" s="50" t="inlineStr">
        <is>
          <t>Google sign-in, allowlisted tester</t>
        </is>
      </c>
      <c r="D15" s="50" t="inlineStr">
        <is>
          <t>Lands in app</t>
        </is>
      </c>
      <c r="E15" s="50" t="inlineStr">
        <is>
          <t>P0</t>
        </is>
      </c>
      <c r="F15" s="50" t="inlineStr">
        <is>
          <t>Pass</t>
        </is>
      </c>
      <c r="G15" s="50" t="inlineStr">
        <is>
          <t>Owner lands on Publish page. See PRE-10 note.</t>
        </is>
      </c>
      <c r="H15" s="50" t="n"/>
      <c r="I15" s="50" t="inlineStr">
        <is>
          <t>Claude (QA)</t>
        </is>
      </c>
      <c r="J15" s="50" t="inlineStr">
        <is>
          <t>2026-09-27</t>
        </is>
      </c>
      <c r="K15" s="50" t="n"/>
    </row>
    <row r="16" ht="22.35" customHeight="1" s="31">
      <c r="A16" s="50" t="inlineStr">
        <is>
          <t>SMK-3</t>
        </is>
      </c>
      <c r="B16" s="50" t="inlineStr">
        <is>
          <t>Smoke</t>
        </is>
      </c>
      <c r="C16" s="50" t="inlineStr">
        <is>
          <t>Non-allowlisted account is refused</t>
        </is>
      </c>
      <c r="D16" s="50" t="inlineStr">
        <is>
          <t>Invite-only page, no account</t>
        </is>
      </c>
      <c r="E16" s="50" t="inlineStr">
        <is>
          <t>P0</t>
        </is>
      </c>
      <c r="F16" s="50" t="inlineStr">
        <is>
          <t>Fail</t>
        </is>
      </c>
      <c r="G16" s="50" t="inlineStr">
        <is>
          <t>Email signup with qa-test-noninvited@example.com created an account and workspace instantly, no invite, no email verification.</t>
        </is>
      </c>
      <c r="H16" s="50" t="inlineStr">
        <is>
          <t>BUG-05</t>
        </is>
      </c>
      <c r="I16" s="50" t="inlineStr">
        <is>
          <t>Claude (QA)</t>
        </is>
      </c>
      <c r="J16" s="50" t="inlineStr">
        <is>
          <t>2026-09-27</t>
        </is>
      </c>
      <c r="K16" s="50" t="n"/>
    </row>
    <row r="17" ht="15" customHeight="1" s="31">
      <c r="A17" s="50" t="inlineStr">
        <is>
          <t>SMK-4</t>
        </is>
      </c>
      <c r="B17" s="50" t="inlineStr">
        <is>
          <t>Smoke</t>
        </is>
      </c>
      <c r="C17" s="50" t="inlineStr">
        <is>
          <t>Invite email arrives within 2 min</t>
        </is>
      </c>
      <c r="D17" s="50" t="inlineStr">
        <is>
          <t>Arrives</t>
        </is>
      </c>
      <c r="E17" s="50" t="inlineStr">
        <is>
          <t>P0</t>
        </is>
      </c>
      <c r="F17" s="50" t="inlineStr">
        <is>
          <t>Blocked</t>
        </is>
      </c>
      <c r="G17" s="50" t="inlineStr">
        <is>
          <t>No SMTP configured (PRE-3).</t>
        </is>
      </c>
      <c r="H17" s="50" t="inlineStr">
        <is>
          <t>BUG-02</t>
        </is>
      </c>
      <c r="I17" s="50" t="inlineStr">
        <is>
          <t>Claude (QA)</t>
        </is>
      </c>
      <c r="J17" s="50" t="inlineStr">
        <is>
          <t>2026-09-27</t>
        </is>
      </c>
      <c r="K17" s="50" t="n"/>
    </row>
    <row r="18" ht="15" customHeight="1" s="31">
      <c r="A18" s="50" t="inlineStr">
        <is>
          <t>SMK-5</t>
        </is>
      </c>
      <c r="B18" s="50" t="inlineStr">
        <is>
          <t>Smoke</t>
        </is>
      </c>
      <c r="C18" s="50" t="inlineStr">
        <is>
          <t>Password reset email works</t>
        </is>
      </c>
      <c r="D18" s="50" t="inlineStr">
        <is>
          <t>Arrives</t>
        </is>
      </c>
      <c r="E18" s="50" t="inlineStr">
        <is>
          <t>P0</t>
        </is>
      </c>
      <c r="F18" s="50" t="inlineStr">
        <is>
          <t>Blocked</t>
        </is>
      </c>
      <c r="G18" s="50" t="inlineStr">
        <is>
          <t>No SMTP configured.</t>
        </is>
      </c>
      <c r="H18" s="50" t="inlineStr">
        <is>
          <t>BUG-02</t>
        </is>
      </c>
      <c r="I18" s="50" t="inlineStr">
        <is>
          <t>Claude (QA)</t>
        </is>
      </c>
      <c r="J18" s="50" t="inlineStr">
        <is>
          <t>2026-09-27</t>
        </is>
      </c>
      <c r="K18" s="50" t="n"/>
    </row>
    <row r="19" ht="22.35" customHeight="1" s="31">
      <c r="A19" s="50" t="inlineStr">
        <is>
          <t>SMK-6</t>
        </is>
      </c>
      <c r="B19" s="50" t="inlineStr">
        <is>
          <t>Smoke</t>
        </is>
      </c>
      <c r="C19" s="50" t="inlineStr">
        <is>
          <t>Upload image, reload, still there (S3)</t>
        </is>
      </c>
      <c r="D19" s="50" t="inlineStr">
        <is>
          <t>Persists on S3</t>
        </is>
      </c>
      <c r="E19" s="50" t="inlineStr">
        <is>
          <t>P0</t>
        </is>
      </c>
      <c r="F19" s="50" t="inlineStr">
        <is>
          <t>Fail</t>
        </is>
      </c>
      <c r="G19" s="50" t="inlineStr">
        <is>
          <t>Image persisted after page reload, but it is stored on local container disk (/media/…), not S3. Will not survive a redeploy.</t>
        </is>
      </c>
      <c r="H19" s="50" t="inlineStr">
        <is>
          <t>BUG-03</t>
        </is>
      </c>
      <c r="I19" s="50" t="inlineStr">
        <is>
          <t>Claude (QA)</t>
        </is>
      </c>
      <c r="J19" s="50" t="inlineStr">
        <is>
          <t>2026-09-27</t>
        </is>
      </c>
      <c r="K19" s="50" t="n"/>
    </row>
    <row r="20" ht="15" customHeight="1" s="31">
      <c r="A20" s="50" t="inlineStr">
        <is>
          <t>SMK-7</t>
        </is>
      </c>
      <c r="B20" s="50" t="inlineStr">
        <is>
          <t>Smoke</t>
        </is>
      </c>
      <c r="C20" s="50" t="inlineStr">
        <is>
          <t>Publish now to each ready platform</t>
        </is>
      </c>
      <c r="D20" s="50" t="inlineStr">
        <is>
          <t>Published</t>
        </is>
      </c>
      <c r="E20" s="50" t="inlineStr">
        <is>
          <t>P0</t>
        </is>
      </c>
      <c r="F20" s="50" t="inlineStr">
        <is>
          <t>Blocked</t>
        </is>
      </c>
      <c r="G20" s="50" t="inlineStr">
        <is>
          <t>No connected test accounts.</t>
        </is>
      </c>
      <c r="H20" s="50" t="inlineStr">
        <is>
          <t>BUG-09</t>
        </is>
      </c>
      <c r="I20" s="50" t="inlineStr">
        <is>
          <t>Claude (QA)</t>
        </is>
      </c>
      <c r="J20" s="50" t="inlineStr">
        <is>
          <t>2026-09-27</t>
        </is>
      </c>
      <c r="K20" s="50" t="n"/>
    </row>
    <row r="21" ht="15" customHeight="1" s="31">
      <c r="A21" s="50" t="inlineStr">
        <is>
          <t>SMK-8</t>
        </is>
      </c>
      <c r="B21" s="50" t="inlineStr">
        <is>
          <t>Smoke</t>
        </is>
      </c>
      <c r="C21" s="50" t="inlineStr">
        <is>
          <t>Scheduled post publishes within 1 min</t>
        </is>
      </c>
      <c r="D21" s="50" t="inlineStr">
        <is>
          <t>On time</t>
        </is>
      </c>
      <c r="E21" s="50" t="inlineStr">
        <is>
          <t>P0</t>
        </is>
      </c>
      <c r="F21" s="50" t="inlineStr">
        <is>
          <t>Blocked</t>
        </is>
      </c>
      <c r="G21" s="50" t="inlineStr">
        <is>
          <t>No connected test accounts.</t>
        </is>
      </c>
      <c r="H21" s="50" t="inlineStr">
        <is>
          <t>BUG-09</t>
        </is>
      </c>
      <c r="I21" s="50" t="inlineStr">
        <is>
          <t>Claude (QA)</t>
        </is>
      </c>
      <c r="J21" s="50" t="inlineStr">
        <is>
          <t>2026-09-27</t>
        </is>
      </c>
      <c r="K21" s="50" t="n"/>
    </row>
    <row r="22" ht="15" customHeight="1" s="31">
      <c r="A22" s="50" t="inlineStr">
        <is>
          <t>SMK-9</t>
        </is>
      </c>
      <c r="B22" s="50" t="inlineStr">
        <is>
          <t>Smoke</t>
        </is>
      </c>
      <c r="C22" s="50" t="inlineStr">
        <is>
          <t>Client magic-link approval</t>
        </is>
      </c>
      <c r="D22" s="50" t="inlineStr">
        <is>
          <t>Approved</t>
        </is>
      </c>
      <c r="E22" s="50" t="inlineStr">
        <is>
          <t>P0</t>
        </is>
      </c>
      <c r="F22" s="50" t="inlineStr">
        <is>
          <t>Blocked</t>
        </is>
      </c>
      <c r="G22" s="50" t="inlineStr">
        <is>
          <t>No SMTP, no accounts.</t>
        </is>
      </c>
      <c r="H22" s="50" t="inlineStr">
        <is>
          <t>BUG-02</t>
        </is>
      </c>
      <c r="I22" s="50" t="inlineStr">
        <is>
          <t>Claude (QA)</t>
        </is>
      </c>
      <c r="J22" s="50" t="inlineStr">
        <is>
          <t>2026-09-27</t>
        </is>
      </c>
      <c r="K22" s="50" t="n"/>
    </row>
    <row r="23" ht="15" customHeight="1" s="31">
      <c r="A23" s="50" t="inlineStr">
        <is>
          <t>SMK-10</t>
        </is>
      </c>
      <c r="B23" s="50" t="inlineStr">
        <is>
          <t>Smoke</t>
        </is>
      </c>
      <c r="C23" s="50" t="inlineStr">
        <is>
          <t>Worker restart during due post: exactly once</t>
        </is>
      </c>
      <c r="D23" s="50" t="inlineStr">
        <is>
          <t>Once</t>
        </is>
      </c>
      <c r="E23" s="50" t="inlineStr">
        <is>
          <t>P0</t>
        </is>
      </c>
      <c r="F23" s="50" t="inlineStr">
        <is>
          <t>Blocked</t>
        </is>
      </c>
      <c r="G23" s="50" t="inlineStr">
        <is>
          <t>No accounts; worker on wrong command.</t>
        </is>
      </c>
      <c r="H23" s="50" t="inlineStr">
        <is>
          <t>BUG-06</t>
        </is>
      </c>
      <c r="I23" s="50" t="inlineStr">
        <is>
          <t>Claude (QA)</t>
        </is>
      </c>
      <c r="J23" s="50" t="inlineStr">
        <is>
          <t>2026-09-27</t>
        </is>
      </c>
      <c r="K23" s="50" t="n"/>
    </row>
    <row r="24" ht="15" customHeight="1" s="31">
      <c r="A24" s="50" t="inlineStr">
        <is>
          <t>SMK-11</t>
        </is>
      </c>
      <c r="B24" s="50" t="inlineStr">
        <is>
          <t>Smoke</t>
        </is>
      </c>
      <c r="C24" s="50" t="inlineStr">
        <is>
          <t>11 wrong passwords in 1 min -&gt; 429</t>
        </is>
      </c>
      <c r="D24" s="50" t="inlineStr">
        <is>
          <t>429 on 11th</t>
        </is>
      </c>
      <c r="E24" s="50" t="inlineStr">
        <is>
          <t>P1</t>
        </is>
      </c>
      <c r="F24" s="50" t="inlineStr">
        <is>
          <t>Pass</t>
        </is>
      </c>
      <c r="G24" s="50" t="inlineStr">
        <is>
          <t>Attempts 1-10 returned the error page, 11 and 12 returned 429 'Too many requests'.</t>
        </is>
      </c>
      <c r="H24" s="50" t="n"/>
      <c r="I24" s="50" t="inlineStr">
        <is>
          <t>Claude (QA)</t>
        </is>
      </c>
      <c r="J24" s="50" t="inlineStr">
        <is>
          <t>2026-09-27</t>
        </is>
      </c>
      <c r="K24" s="50" t="n"/>
    </row>
    <row r="25" ht="15" customHeight="1" s="31">
      <c r="A25" s="50" t="inlineStr">
        <is>
          <t>SMK-12</t>
        </is>
      </c>
      <c r="B25" s="50" t="inlineStr">
        <is>
          <t>Smoke</t>
        </is>
      </c>
      <c r="C25" s="50" t="inlineStr">
        <is>
          <t>Sentry shows test error</t>
        </is>
      </c>
      <c r="D25" s="50" t="inlineStr">
        <is>
          <t>Visible</t>
        </is>
      </c>
      <c r="E25" s="50" t="inlineStr">
        <is>
          <t>P1</t>
        </is>
      </c>
      <c r="F25" s="50" t="inlineStr">
        <is>
          <t>Blocked</t>
        </is>
      </c>
      <c r="G25" s="50" t="inlineStr">
        <is>
          <t>Sentry not configured.</t>
        </is>
      </c>
      <c r="H25" s="50" t="inlineStr">
        <is>
          <t>BUG-04</t>
        </is>
      </c>
      <c r="I25" s="50" t="inlineStr">
        <is>
          <t>Claude (QA)</t>
        </is>
      </c>
      <c r="J25" s="50" t="inlineStr">
        <is>
          <t>2026-09-27</t>
        </is>
      </c>
      <c r="K25" s="50" t="n"/>
    </row>
    <row r="26" ht="15" customHeight="1" s="31">
      <c r="A26" s="50" t="inlineStr">
        <is>
          <t>A1</t>
        </is>
      </c>
      <c r="B26" s="50" t="inlineStr">
        <is>
          <t>A. Sign-in</t>
        </is>
      </c>
      <c r="C26" s="50" t="inlineStr">
        <is>
          <t>New allowlisted user, Google</t>
        </is>
      </c>
      <c r="D26" s="50" t="inlineStr">
        <is>
          <t>Onboarding</t>
        </is>
      </c>
      <c r="E26" s="50" t="inlineStr">
        <is>
          <t>P0</t>
        </is>
      </c>
      <c r="F26" s="50" t="inlineStr">
        <is>
          <t>Blocked</t>
        </is>
      </c>
      <c r="G26" s="50" t="inlineStr">
        <is>
          <t>Needs an allowlist (PRE-7) and a fresh Google test account.</t>
        </is>
      </c>
      <c r="H26" s="50" t="n"/>
      <c r="I26" s="50" t="inlineStr">
        <is>
          <t>Claude (QA)</t>
        </is>
      </c>
      <c r="J26" s="50" t="inlineStr">
        <is>
          <t>2026-09-27</t>
        </is>
      </c>
      <c r="K26" s="50" t="n"/>
    </row>
    <row r="27" ht="15" customHeight="1" s="31">
      <c r="A27" s="50" t="inlineStr">
        <is>
          <t>A2</t>
        </is>
      </c>
      <c r="B27" s="50" t="inlineStr">
        <is>
          <t>A. Sign-in</t>
        </is>
      </c>
      <c r="C27" s="50" t="inlineStr">
        <is>
          <t>Non-allowlisted, not invited user signs up</t>
        </is>
      </c>
      <c r="D27" s="50" t="inlineStr">
        <is>
          <t>Invite-only page, no account</t>
        </is>
      </c>
      <c r="E27" s="50" t="inlineStr">
        <is>
          <t>P0</t>
        </is>
      </c>
      <c r="F27" s="50" t="inlineStr">
        <is>
          <t>Fail</t>
        </is>
      </c>
      <c r="G27" s="50" t="inlineStr">
        <is>
          <t>Email signup open to anyone; account + 'My Workspace' created at once.</t>
        </is>
      </c>
      <c r="H27" s="50" t="inlineStr">
        <is>
          <t>BUG-05</t>
        </is>
      </c>
      <c r="I27" s="50" t="inlineStr">
        <is>
          <t>Claude (QA)</t>
        </is>
      </c>
      <c r="J27" s="50" t="inlineStr">
        <is>
          <t>2026-09-27</t>
        </is>
      </c>
      <c r="K27" s="50" t="n"/>
    </row>
    <row r="28" ht="15" customHeight="1" s="31">
      <c r="A28" s="50" t="inlineStr">
        <is>
          <t>A3</t>
        </is>
      </c>
      <c r="B28" s="50" t="inlineStr">
        <is>
          <t>A. Sign-in</t>
        </is>
      </c>
      <c r="C28" s="50" t="inlineStr">
        <is>
          <t>Invite link, then Google</t>
        </is>
      </c>
      <c r="D28" s="50" t="inlineStr">
        <is>
          <t>Joins with role</t>
        </is>
      </c>
      <c r="E28" s="50" t="inlineStr">
        <is>
          <t>P0</t>
        </is>
      </c>
      <c r="F28" s="50" t="inlineStr">
        <is>
          <t>Blocked</t>
        </is>
      </c>
      <c r="G28" s="50" t="inlineStr">
        <is>
          <t>No SMTP.</t>
        </is>
      </c>
      <c r="H28" s="50" t="inlineStr">
        <is>
          <t>BUG-02</t>
        </is>
      </c>
      <c r="I28" s="50" t="inlineStr">
        <is>
          <t>Claude (QA)</t>
        </is>
      </c>
      <c r="J28" s="50" t="inlineStr">
        <is>
          <t>2026-09-27</t>
        </is>
      </c>
      <c r="K28" s="50" t="n"/>
    </row>
    <row r="29" ht="15" customHeight="1" s="31">
      <c r="A29" s="50" t="inlineStr">
        <is>
          <t>A4</t>
        </is>
      </c>
      <c r="B29" s="50" t="inlineStr">
        <is>
          <t>A. Sign-in</t>
        </is>
      </c>
      <c r="C29" s="50" t="inlineStr">
        <is>
          <t>Existing user signs in with Google again</t>
        </is>
      </c>
      <c r="D29" s="50" t="inlineStr">
        <is>
          <t>Same account</t>
        </is>
      </c>
      <c r="E29" s="50" t="inlineStr">
        <is>
          <t>P0</t>
        </is>
      </c>
      <c r="F29" s="50" t="inlineStr">
        <is>
          <t>Pass</t>
        </is>
      </c>
      <c r="G29" s="50" t="inlineStr">
        <is>
          <t>Owner account re-used (single member in org). Retest after callback 401 in logs.</t>
        </is>
      </c>
      <c r="H29" s="50" t="n"/>
      <c r="I29" s="50" t="inlineStr">
        <is>
          <t>Claude (QA)</t>
        </is>
      </c>
      <c r="J29" s="50" t="inlineStr">
        <is>
          <t>2026-09-27</t>
        </is>
      </c>
      <c r="K29" s="50" t="n"/>
    </row>
    <row r="30" ht="15" customHeight="1" s="31">
      <c r="A30" s="50" t="inlineStr">
        <is>
          <t>A5</t>
        </is>
      </c>
      <c r="B30" s="50" t="inlineStr">
        <is>
          <t>A. Sign-in</t>
        </is>
      </c>
      <c r="C30" s="50" t="inlineStr">
        <is>
          <t>Email user later uses Google, same email</t>
        </is>
      </c>
      <c r="D30" s="50" t="inlineStr">
        <is>
          <t>Same account</t>
        </is>
      </c>
      <c r="E30" s="50" t="inlineStr">
        <is>
          <t>P1</t>
        </is>
      </c>
      <c r="F30" s="50" t="inlineStr">
        <is>
          <t>Not run</t>
        </is>
      </c>
      <c r="G30" s="50" t="inlineStr">
        <is>
          <t>Needs a second tester Google account.</t>
        </is>
      </c>
      <c r="H30" s="50" t="n"/>
      <c r="I30" s="50" t="inlineStr">
        <is>
          <t>Claude (QA)</t>
        </is>
      </c>
      <c r="J30" s="50" t="inlineStr">
        <is>
          <t>2026-09-27</t>
        </is>
      </c>
      <c r="K30" s="50" t="n"/>
    </row>
    <row r="31" ht="15" customHeight="1" s="31">
      <c r="A31" s="50" t="inlineStr">
        <is>
          <t>A6</t>
        </is>
      </c>
      <c r="B31" s="50" t="inlineStr">
        <is>
          <t>A. Sign-in</t>
        </is>
      </c>
      <c r="C31" s="50" t="inlineStr">
        <is>
          <t>Wrong then right password</t>
        </is>
      </c>
      <c r="D31" s="50" t="inlineStr">
        <is>
          <t>Error, then success</t>
        </is>
      </c>
      <c r="E31" s="50" t="inlineStr">
        <is>
          <t>P0</t>
        </is>
      </c>
      <c r="F31" s="50" t="inlineStr">
        <is>
          <t>Partial</t>
        </is>
      </c>
      <c r="G31" s="50" t="inlineStr">
        <is>
          <t>Wrong password shows error. Right password not entered by QA (policy).</t>
        </is>
      </c>
      <c r="H31" s="50" t="n"/>
      <c r="I31" s="50" t="inlineStr">
        <is>
          <t>Claude (QA)</t>
        </is>
      </c>
      <c r="J31" s="50" t="inlineStr">
        <is>
          <t>2026-09-27</t>
        </is>
      </c>
      <c r="K31" s="50" t="n"/>
    </row>
    <row r="32" ht="15" customHeight="1" s="31">
      <c r="A32" s="50" t="inlineStr">
        <is>
          <t>A7</t>
        </is>
      </c>
      <c r="B32" s="50" t="inlineStr">
        <is>
          <t>A. Sign-in</t>
        </is>
      </c>
      <c r="C32" s="50" t="inlineStr">
        <is>
          <t>Password reset end to end</t>
        </is>
      </c>
      <c r="D32" s="50" t="inlineStr">
        <is>
          <t>Works once</t>
        </is>
      </c>
      <c r="E32" s="50" t="inlineStr">
        <is>
          <t>P0</t>
        </is>
      </c>
      <c r="F32" s="50" t="inlineStr">
        <is>
          <t>Blocked</t>
        </is>
      </c>
      <c r="G32" s="50" t="inlineStr">
        <is>
          <t>No SMTP.</t>
        </is>
      </c>
      <c r="H32" s="50" t="inlineStr">
        <is>
          <t>BUG-02</t>
        </is>
      </c>
      <c r="I32" s="50" t="inlineStr">
        <is>
          <t>Claude (QA)</t>
        </is>
      </c>
      <c r="J32" s="50" t="inlineStr">
        <is>
          <t>2026-09-27</t>
        </is>
      </c>
      <c r="K32" s="50" t="n"/>
    </row>
    <row r="33" ht="15" customHeight="1" s="31">
      <c r="A33" s="50" t="inlineStr">
        <is>
          <t>A8</t>
        </is>
      </c>
      <c r="B33" s="50" t="inlineStr">
        <is>
          <t>A. Sign-in</t>
        </is>
      </c>
      <c r="C33" s="50" t="inlineStr">
        <is>
          <t>11 wrong passwords in 60 s</t>
        </is>
      </c>
      <c r="D33" s="50" t="inlineStr">
        <is>
          <t>429</t>
        </is>
      </c>
      <c r="E33" s="50" t="inlineStr">
        <is>
          <t>P1</t>
        </is>
      </c>
      <c r="F33" s="50" t="inlineStr">
        <is>
          <t>Pass</t>
        </is>
      </c>
      <c r="G33" s="50" t="inlineStr">
        <is>
          <t>429 from attempt 11.</t>
        </is>
      </c>
      <c r="H33" s="50" t="n"/>
      <c r="I33" s="50" t="inlineStr">
        <is>
          <t>Claude (QA)</t>
        </is>
      </c>
      <c r="J33" s="50" t="inlineStr">
        <is>
          <t>2026-09-27</t>
        </is>
      </c>
      <c r="K33" s="50" t="n"/>
    </row>
    <row r="34" ht="15" customHeight="1" s="31">
      <c r="A34" s="50" t="inlineStr">
        <is>
          <t>A9</t>
        </is>
      </c>
      <c r="B34" s="50" t="inlineStr">
        <is>
          <t>A. Sign-in</t>
        </is>
      </c>
      <c r="C34" s="50" t="inlineStr">
        <is>
          <t>Log out is a POST button</t>
        </is>
      </c>
      <c r="D34" s="50" t="inlineStr">
        <is>
          <t>POST</t>
        </is>
      </c>
      <c r="E34" s="50" t="inlineStr">
        <is>
          <t>P1</t>
        </is>
      </c>
      <c r="F34" s="50" t="inlineStr">
        <is>
          <t>Fail</t>
        </is>
      </c>
      <c r="G34" s="50" t="inlineStr">
        <is>
          <t>Sidebar 'Log out' is a plain link to /accounts/logout/ (GET).</t>
        </is>
      </c>
      <c r="H34" s="50" t="inlineStr">
        <is>
          <t>BUG-10</t>
        </is>
      </c>
      <c r="I34" s="50" t="inlineStr">
        <is>
          <t>Claude (QA)</t>
        </is>
      </c>
      <c r="J34" s="50" t="inlineStr">
        <is>
          <t>2026-09-27</t>
        </is>
      </c>
      <c r="K34" s="50" t="n"/>
    </row>
    <row r="35" ht="15" customHeight="1" s="31">
      <c r="A35" s="50" t="inlineStr">
        <is>
          <t>A10</t>
        </is>
      </c>
      <c r="B35" s="50" t="inlineStr">
        <is>
          <t>A. Sign-in</t>
        </is>
      </c>
      <c r="C35" s="50" t="inlineStr">
        <is>
          <t>GET /accounts/logout/ does not log out</t>
        </is>
      </c>
      <c r="D35" s="50" t="inlineStr">
        <is>
          <t>Stays signed in</t>
        </is>
      </c>
      <c r="E35" s="50" t="inlineStr">
        <is>
          <t>P2</t>
        </is>
      </c>
      <c r="F35" s="50" t="inlineStr">
        <is>
          <t>Fail</t>
        </is>
      </c>
      <c r="G35" s="50" t="inlineStr">
        <is>
          <t>Visiting the URL signed the owner out immediately (reproduced twice, two browsers).</t>
        </is>
      </c>
      <c r="H35" s="50" t="inlineStr">
        <is>
          <t>BUG-10</t>
        </is>
      </c>
      <c r="I35" s="50" t="inlineStr">
        <is>
          <t>Claude (QA)</t>
        </is>
      </c>
      <c r="J35" s="50" t="inlineStr">
        <is>
          <t>2026-09-27</t>
        </is>
      </c>
      <c r="K35" s="50" t="n"/>
    </row>
    <row r="36" ht="15" customHeight="1" s="31">
      <c r="A36" s="50" t="inlineStr">
        <is>
          <t>A11</t>
        </is>
      </c>
      <c r="B36" s="50" t="inlineStr">
        <is>
          <t>A. Sign-in</t>
        </is>
      </c>
      <c r="C36" s="50" t="inlineStr">
        <is>
          <t>Cancel on Google consent</t>
        </is>
      </c>
      <c r="D36" s="50" t="inlineStr">
        <is>
          <t>Clear message</t>
        </is>
      </c>
      <c r="E36" s="50" t="inlineStr">
        <is>
          <t>P2</t>
        </is>
      </c>
      <c r="F36" s="50" t="inlineStr">
        <is>
          <t>Not run</t>
        </is>
      </c>
      <c r="G36" s="50" t="n"/>
      <c r="H36" s="50" t="n"/>
      <c r="I36" s="50" t="inlineStr">
        <is>
          <t>Claude (QA)</t>
        </is>
      </c>
      <c r="J36" s="50" t="inlineStr">
        <is>
          <t>2026-09-27</t>
        </is>
      </c>
      <c r="K36" s="50" t="n"/>
    </row>
    <row r="37" ht="22.35" customHeight="1" s="31">
      <c r="A37" s="50" t="inlineStr">
        <is>
          <t>B1</t>
        </is>
      </c>
      <c r="B37" s="50" t="inlineStr">
        <is>
          <t>B. Onboarding</t>
        </is>
      </c>
      <c r="C37" s="50" t="inlineStr">
        <is>
          <t>First login shows 4-item checklist</t>
        </is>
      </c>
      <c r="D37" s="50" t="inlineStr">
        <is>
          <t>Checklist</t>
        </is>
      </c>
      <c r="E37" s="50" t="inlineStr">
        <is>
          <t>P1</t>
        </is>
      </c>
      <c r="F37" s="50" t="inlineStr">
        <is>
          <t>Fail</t>
        </is>
      </c>
      <c r="G37" s="50" t="inlineStr">
        <is>
          <t>No checklist on the owner dashboard; new signup lands straight on Publish with a 'Welcome — connect a channel' empty state.</t>
        </is>
      </c>
      <c r="H37" s="50" t="inlineStr">
        <is>
          <t>BUG-11</t>
        </is>
      </c>
      <c r="I37" s="50" t="inlineStr">
        <is>
          <t>Claude (QA)</t>
        </is>
      </c>
      <c r="J37" s="50" t="inlineStr">
        <is>
          <t>2026-09-27</t>
        </is>
      </c>
      <c r="K37" s="50" t="n"/>
    </row>
    <row r="38" ht="15" customHeight="1" s="31">
      <c r="A38" s="50" t="inlineStr">
        <is>
          <t>B2</t>
        </is>
      </c>
      <c r="B38" s="50" t="inlineStr">
        <is>
          <t>B. Onboarding</t>
        </is>
      </c>
      <c r="C38" s="50" t="inlineStr">
        <is>
          <t>Items tick as completed</t>
        </is>
      </c>
      <c r="D38" s="50" t="inlineStr">
        <is>
          <t>Ticks</t>
        </is>
      </c>
      <c r="E38" s="50" t="inlineStr">
        <is>
          <t>P1</t>
        </is>
      </c>
      <c r="F38" s="50" t="inlineStr">
        <is>
          <t>Blocked</t>
        </is>
      </c>
      <c r="G38" s="50" t="inlineStr">
        <is>
          <t>Depends on B1.</t>
        </is>
      </c>
      <c r="H38" s="50" t="n"/>
      <c r="I38" s="50" t="inlineStr">
        <is>
          <t>Claude (QA)</t>
        </is>
      </c>
      <c r="J38" s="50" t="inlineStr">
        <is>
          <t>2026-09-27</t>
        </is>
      </c>
      <c r="K38" s="50" t="n"/>
    </row>
    <row r="39" ht="15" customHeight="1" s="31">
      <c r="A39" s="50" t="inlineStr">
        <is>
          <t>B3</t>
        </is>
      </c>
      <c r="B39" s="50" t="inlineStr">
        <is>
          <t>B. Onboarding</t>
        </is>
      </c>
      <c r="C39" s="50" t="inlineStr">
        <is>
          <t>Dismiss persists</t>
        </is>
      </c>
      <c r="D39" s="50" t="inlineStr">
        <is>
          <t>Hidden</t>
        </is>
      </c>
      <c r="E39" s="50" t="inlineStr">
        <is>
          <t>P2</t>
        </is>
      </c>
      <c r="F39" s="50" t="inlineStr">
        <is>
          <t>Blocked</t>
        </is>
      </c>
      <c r="G39" s="50" t="inlineStr">
        <is>
          <t>Depends on B1.</t>
        </is>
      </c>
      <c r="H39" s="50" t="n"/>
      <c r="I39" s="50" t="inlineStr">
        <is>
          <t>Claude (QA)</t>
        </is>
      </c>
      <c r="J39" s="50" t="inlineStr">
        <is>
          <t>2026-09-27</t>
        </is>
      </c>
      <c r="K39" s="50" t="n"/>
    </row>
    <row r="40" ht="15" customHeight="1" s="31">
      <c r="A40" s="50" t="inlineStr">
        <is>
          <t>C1</t>
        </is>
      </c>
      <c r="B40" s="50" t="inlineStr">
        <is>
          <t>C. Org/workspace</t>
        </is>
      </c>
      <c r="C40" s="50" t="inlineStr">
        <is>
          <t>Create second workspace, data separate</t>
        </is>
      </c>
      <c r="D40" s="50" t="inlineStr">
        <is>
          <t>Separate</t>
        </is>
      </c>
      <c r="E40" s="50" t="inlineStr">
        <is>
          <t>P0</t>
        </is>
      </c>
      <c r="F40" s="50" t="inlineStr">
        <is>
          <t>Not run</t>
        </is>
      </c>
      <c r="G40" s="50" t="inlineStr">
        <is>
          <t>Not approved to create workspaces in production.</t>
        </is>
      </c>
      <c r="H40" s="50" t="n"/>
      <c r="I40" s="50" t="inlineStr">
        <is>
          <t>Claude (QA)</t>
        </is>
      </c>
      <c r="J40" s="50" t="inlineStr">
        <is>
          <t>2026-09-27</t>
        </is>
      </c>
      <c r="K40" s="50" t="n"/>
    </row>
    <row r="41" ht="15" customHeight="1" s="31">
      <c r="A41" s="50" t="inlineStr">
        <is>
          <t>C2</t>
        </is>
      </c>
      <c r="B41" s="50" t="inlineStr">
        <is>
          <t>C. Org/workspace</t>
        </is>
      </c>
      <c r="C41" s="50" t="inlineStr">
        <is>
          <t>Invite one user per role</t>
        </is>
      </c>
      <c r="D41" s="50" t="inlineStr">
        <is>
          <t>Right role</t>
        </is>
      </c>
      <c r="E41" s="50" t="inlineStr">
        <is>
          <t>P0</t>
        </is>
      </c>
      <c r="F41" s="50" t="inlineStr">
        <is>
          <t>Blocked</t>
        </is>
      </c>
      <c r="G41" s="50" t="inlineStr">
        <is>
          <t>No SMTP.</t>
        </is>
      </c>
      <c r="H41" s="50" t="inlineStr">
        <is>
          <t>BUG-02</t>
        </is>
      </c>
      <c r="I41" s="50" t="inlineStr">
        <is>
          <t>Claude (QA)</t>
        </is>
      </c>
      <c r="J41" s="50" t="inlineStr">
        <is>
          <t>2026-09-27</t>
        </is>
      </c>
      <c r="K41" s="50" t="n"/>
    </row>
    <row r="42" ht="15" customHeight="1" s="31">
      <c r="A42" s="50" t="inlineStr">
        <is>
          <t>C3</t>
        </is>
      </c>
      <c r="B42" s="50" t="inlineStr">
        <is>
          <t>C. Org/workspace</t>
        </is>
      </c>
      <c r="C42" s="50" t="inlineStr">
        <is>
          <t>Change role, remove member</t>
        </is>
      </c>
      <c r="D42" s="50" t="inlineStr">
        <is>
          <t>Immediate</t>
        </is>
      </c>
      <c r="E42" s="50" t="inlineStr">
        <is>
          <t>P1</t>
        </is>
      </c>
      <c r="F42" s="50" t="inlineStr">
        <is>
          <t>Blocked</t>
        </is>
      </c>
      <c r="G42" s="50" t="inlineStr">
        <is>
          <t>Only one member.</t>
        </is>
      </c>
      <c r="H42" s="50" t="n"/>
      <c r="I42" s="50" t="inlineStr">
        <is>
          <t>Claude (QA)</t>
        </is>
      </c>
      <c r="J42" s="50" t="inlineStr">
        <is>
          <t>2026-09-27</t>
        </is>
      </c>
      <c r="K42" s="50" t="n"/>
    </row>
    <row r="43" ht="15" customHeight="1" s="31">
      <c r="A43" s="50" t="inlineStr">
        <is>
          <t>C4</t>
        </is>
      </c>
      <c r="B43" s="50" t="inlineStr">
        <is>
          <t>C. Org/workspace</t>
        </is>
      </c>
      <c r="C43" s="50" t="inlineStr">
        <is>
          <t>Client cannot open /members/</t>
        </is>
      </c>
      <c r="D43" s="50" t="inlineStr">
        <is>
          <t>Blocked</t>
        </is>
      </c>
      <c r="E43" s="50" t="inlineStr">
        <is>
          <t>P1</t>
        </is>
      </c>
      <c r="F43" s="50" t="inlineStr">
        <is>
          <t>Blocked</t>
        </is>
      </c>
      <c r="G43" s="50" t="inlineStr">
        <is>
          <t>No client user.</t>
        </is>
      </c>
      <c r="H43" s="50" t="n"/>
      <c r="I43" s="50" t="inlineStr">
        <is>
          <t>Claude (QA)</t>
        </is>
      </c>
      <c r="J43" s="50" t="inlineStr">
        <is>
          <t>2026-09-27</t>
        </is>
      </c>
      <c r="K43" s="50" t="n"/>
    </row>
    <row r="44" ht="15" customHeight="1" s="31">
      <c r="A44" s="50" t="inlineStr">
        <is>
          <t>C5</t>
        </is>
      </c>
      <c r="B44" s="50" t="inlineStr">
        <is>
          <t>C. Org/workspace</t>
        </is>
      </c>
      <c r="C44" s="50" t="inlineStr">
        <is>
          <t>Resend/revoke invite</t>
        </is>
      </c>
      <c r="D44" s="50" t="inlineStr">
        <is>
          <t>Revoked link dead</t>
        </is>
      </c>
      <c r="E44" s="50" t="inlineStr">
        <is>
          <t>P2</t>
        </is>
      </c>
      <c r="F44" s="50" t="inlineStr">
        <is>
          <t>Blocked</t>
        </is>
      </c>
      <c r="G44" s="50" t="inlineStr">
        <is>
          <t>No SMTP.</t>
        </is>
      </c>
      <c r="H44" s="50" t="n"/>
      <c r="I44" s="50" t="inlineStr">
        <is>
          <t>Claude (QA)</t>
        </is>
      </c>
      <c r="J44" s="50" t="inlineStr">
        <is>
          <t>2026-09-27</t>
        </is>
      </c>
      <c r="K44" s="50" t="n"/>
    </row>
    <row r="45" ht="22.35" customHeight="1" s="31">
      <c r="A45" s="50" t="inlineStr">
        <is>
          <t>C6</t>
        </is>
      </c>
      <c r="B45" s="50" t="inlineStr">
        <is>
          <t>C. Org/workspace</t>
        </is>
      </c>
      <c r="C45" s="50" t="inlineStr">
        <is>
          <t>Timezone + approval mode saved and obeyed</t>
        </is>
      </c>
      <c r="D45" s="50" t="inlineStr">
        <is>
          <t>Obeyed</t>
        </is>
      </c>
      <c r="E45" s="50" t="inlineStr">
        <is>
          <t>P1</t>
        </is>
      </c>
      <c r="F45" s="50" t="inlineStr">
        <is>
          <t>Partial</t>
        </is>
      </c>
      <c r="G45" s="50" t="inlineStr">
        <is>
          <t>Approvals page shows the 4 modes clearly. Save/behaviour not tested (no accounts). Timezone label says 'Calcutta' — use 'Kolkata'.</t>
        </is>
      </c>
      <c r="H45" s="50" t="inlineStr">
        <is>
          <t>BUG-27</t>
        </is>
      </c>
      <c r="I45" s="50" t="inlineStr">
        <is>
          <t>Claude (QA)</t>
        </is>
      </c>
      <c r="J45" s="50" t="inlineStr">
        <is>
          <t>2026-09-27</t>
        </is>
      </c>
      <c r="K45" s="50" t="n"/>
    </row>
    <row r="46" ht="15" customHeight="1" s="31">
      <c r="A46" s="50" t="inlineStr">
        <is>
          <t>D1</t>
        </is>
      </c>
      <c r="B46" s="50" t="inlineStr">
        <is>
          <t>D. Social accounts</t>
        </is>
      </c>
      <c r="C46" s="50" t="inlineStr">
        <is>
          <t>Connect each ready platform</t>
        </is>
      </c>
      <c r="D46" s="50" t="inlineStr">
        <is>
          <t>Connected</t>
        </is>
      </c>
      <c r="E46" s="50" t="inlineStr">
        <is>
          <t>P0</t>
        </is>
      </c>
      <c r="F46" s="50" t="inlineStr">
        <is>
          <t>Blocked</t>
        </is>
      </c>
      <c r="G46" s="50" t="inlineStr">
        <is>
          <t>No test accounts provided.</t>
        </is>
      </c>
      <c r="H46" s="50" t="inlineStr">
        <is>
          <t>BUG-09</t>
        </is>
      </c>
      <c r="I46" s="50" t="inlineStr">
        <is>
          <t>Claude (QA)</t>
        </is>
      </c>
      <c r="J46" s="50" t="inlineStr">
        <is>
          <t>2026-09-27</t>
        </is>
      </c>
      <c r="K46" s="50" t="n"/>
    </row>
    <row r="47" ht="15" customHeight="1" s="31">
      <c r="A47" s="50" t="inlineStr">
        <is>
          <t>D2</t>
        </is>
      </c>
      <c r="B47" s="50" t="inlineStr">
        <is>
          <t>D. Social accounts</t>
        </is>
      </c>
      <c r="C47" s="50" t="inlineStr">
        <is>
          <t>Connect same account twice</t>
        </is>
      </c>
      <c r="D47" s="50" t="inlineStr">
        <is>
          <t>No duplicate</t>
        </is>
      </c>
      <c r="E47" s="50" t="inlineStr">
        <is>
          <t>P2</t>
        </is>
      </c>
      <c r="F47" s="50" t="inlineStr">
        <is>
          <t>Blocked</t>
        </is>
      </c>
      <c r="G47" s="50" t="n"/>
      <c r="H47" s="50" t="n"/>
      <c r="I47" s="50" t="inlineStr">
        <is>
          <t>Claude (QA)</t>
        </is>
      </c>
      <c r="J47" s="50" t="inlineStr">
        <is>
          <t>2026-09-27</t>
        </is>
      </c>
      <c r="K47" s="50" t="n"/>
    </row>
    <row r="48" ht="15" customHeight="1" s="31">
      <c r="A48" s="50" t="inlineStr">
        <is>
          <t>D3</t>
        </is>
      </c>
      <c r="B48" s="50" t="inlineStr">
        <is>
          <t>D. Social accounts</t>
        </is>
      </c>
      <c r="C48" s="50" t="inlineStr">
        <is>
          <t>Disconnect account with scheduled posts</t>
        </is>
      </c>
      <c r="D48" s="50" t="inlineStr">
        <is>
          <t>Posts to Draft + notice</t>
        </is>
      </c>
      <c r="E48" s="50" t="inlineStr">
        <is>
          <t>P0</t>
        </is>
      </c>
      <c r="F48" s="50" t="inlineStr">
        <is>
          <t>Blocked</t>
        </is>
      </c>
      <c r="G48" s="50" t="n"/>
      <c r="H48" s="50" t="n"/>
      <c r="I48" s="50" t="inlineStr">
        <is>
          <t>Claude (QA)</t>
        </is>
      </c>
      <c r="J48" s="50" t="inlineStr">
        <is>
          <t>2026-09-27</t>
        </is>
      </c>
      <c r="K48" s="50" t="n"/>
    </row>
    <row r="49" ht="15" customHeight="1" s="31">
      <c r="A49" s="50" t="inlineStr">
        <is>
          <t>D4</t>
        </is>
      </c>
      <c r="B49" s="50" t="inlineStr">
        <is>
          <t>D. Social accounts</t>
        </is>
      </c>
      <c r="C49" s="50" t="inlineStr">
        <is>
          <t>Remove only on disconnected</t>
        </is>
      </c>
      <c r="D49" s="50" t="inlineStr">
        <is>
          <t>Confirmed</t>
        </is>
      </c>
      <c r="E49" s="50" t="inlineStr">
        <is>
          <t>P1</t>
        </is>
      </c>
      <c r="F49" s="50" t="inlineStr">
        <is>
          <t>Blocked</t>
        </is>
      </c>
      <c r="G49" s="50" t="n"/>
      <c r="H49" s="50" t="n"/>
      <c r="I49" s="50" t="inlineStr">
        <is>
          <t>Claude (QA)</t>
        </is>
      </c>
      <c r="J49" s="50" t="inlineStr">
        <is>
          <t>2026-09-27</t>
        </is>
      </c>
      <c r="K49" s="50" t="n"/>
    </row>
    <row r="50" ht="15" customHeight="1" s="31">
      <c r="A50" s="50" t="inlineStr">
        <is>
          <t>D5</t>
        </is>
      </c>
      <c r="B50" s="50" t="inlineStr">
        <is>
          <t>D. Social accounts</t>
        </is>
      </c>
      <c r="C50" s="50" t="inlineStr">
        <is>
          <t>Platform-side revoke</t>
        </is>
      </c>
      <c r="D50" s="50" t="inlineStr">
        <is>
          <t>Fails once, needs reconnect</t>
        </is>
      </c>
      <c r="E50" s="50" t="inlineStr">
        <is>
          <t>P0</t>
        </is>
      </c>
      <c r="F50" s="50" t="inlineStr">
        <is>
          <t>Blocked</t>
        </is>
      </c>
      <c r="G50" s="50" t="n"/>
      <c r="H50" s="50" t="n"/>
      <c r="I50" s="50" t="inlineStr">
        <is>
          <t>Claude (QA)</t>
        </is>
      </c>
      <c r="J50" s="50" t="inlineStr">
        <is>
          <t>2026-09-27</t>
        </is>
      </c>
      <c r="K50" s="50" t="n"/>
    </row>
    <row r="51" ht="15" customHeight="1" s="31">
      <c r="A51" s="50" t="inlineStr">
        <is>
          <t>D6</t>
        </is>
      </c>
      <c r="B51" s="50" t="inlineStr">
        <is>
          <t>D. Social accounts</t>
        </is>
      </c>
      <c r="C51" s="50" t="inlineStr">
        <is>
          <t>Reconnect</t>
        </is>
      </c>
      <c r="D51" s="50" t="inlineStr">
        <is>
          <t>Connected</t>
        </is>
      </c>
      <c r="E51" s="50" t="inlineStr">
        <is>
          <t>P1</t>
        </is>
      </c>
      <c r="F51" s="50" t="inlineStr">
        <is>
          <t>Blocked</t>
        </is>
      </c>
      <c r="G51" s="50" t="n"/>
      <c r="H51" s="50" t="n"/>
      <c r="I51" s="50" t="inlineStr">
        <is>
          <t>Claude (QA)</t>
        </is>
      </c>
      <c r="J51" s="50" t="inlineStr">
        <is>
          <t>2026-09-27</t>
        </is>
      </c>
      <c r="K51" s="50" t="n"/>
    </row>
    <row r="52" ht="32.8" customHeight="1" s="31">
      <c r="A52" s="50" t="inlineStr">
        <is>
          <t>D7</t>
        </is>
      </c>
      <c r="B52" s="50" t="inlineStr">
        <is>
          <t>D. Social accounts</t>
        </is>
      </c>
      <c r="C52" s="50" t="inlineStr">
        <is>
          <t>LinkedIn/TikTok/Pinterest hidden or labelled</t>
        </is>
      </c>
      <c r="D52" s="50" t="inlineStr">
        <is>
          <t>Clear state</t>
        </is>
      </c>
      <c r="E52" s="50" t="inlineStr">
        <is>
          <t>P1</t>
        </is>
      </c>
      <c r="F52" s="50" t="inlineStr">
        <is>
          <t>Fail</t>
        </is>
      </c>
      <c r="G52" s="50" t="inlineStr">
        <is>
          <t>Connect page greys them out as 'Not Configured' (OK), but the sidebar 'CONNECT CHANNELS' block promotes 'LinkedIn (Company Page)' and 'TikTok' as the first things to connect.</t>
        </is>
      </c>
      <c r="H52" s="50" t="inlineStr">
        <is>
          <t>BUG-12</t>
        </is>
      </c>
      <c r="I52" s="50" t="inlineStr">
        <is>
          <t>Claude (QA)</t>
        </is>
      </c>
      <c r="J52" s="50" t="inlineStr">
        <is>
          <t>2026-09-27</t>
        </is>
      </c>
      <c r="K52" s="50" t="n"/>
    </row>
    <row r="53" ht="22.35" customHeight="1" s="31">
      <c r="A53" s="50" t="inlineStr">
        <is>
          <t>E1</t>
        </is>
      </c>
      <c r="B53" s="50" t="inlineStr">
        <is>
          <t>E. Composer</t>
        </is>
      </c>
      <c r="C53" s="50" t="inlineStr">
        <is>
          <t>Save draft with text only</t>
        </is>
      </c>
      <c r="D53" s="50" t="inlineStr">
        <is>
          <t>Appears in Drafts</t>
        </is>
      </c>
      <c r="E53" s="50" t="inlineStr">
        <is>
          <t>P0</t>
        </is>
      </c>
      <c r="F53" s="50" t="inlineStr">
        <is>
          <t>Fail</t>
        </is>
      </c>
      <c r="G53" s="50" t="inlineStr">
        <is>
          <t>With no account selected, Save Draft POST returns 204, redirects to Publish, shows no message, and nothing is saved. Drafts shows '0 drafts'. User text is lost silently.</t>
        </is>
      </c>
      <c r="H53" s="50" t="inlineStr">
        <is>
          <t>BUG-13</t>
        </is>
      </c>
      <c r="I53" s="50" t="inlineStr">
        <is>
          <t>Claude (QA)</t>
        </is>
      </c>
      <c r="J53" s="50" t="inlineStr">
        <is>
          <t>2026-09-27</t>
        </is>
      </c>
      <c r="K53" s="50" t="n"/>
    </row>
    <row r="54" ht="15" customHeight="1" s="31">
      <c r="A54" s="50" t="inlineStr">
        <is>
          <t>E2</t>
        </is>
      </c>
      <c r="B54" s="50" t="inlineStr">
        <is>
          <t>E. Composer</t>
        </is>
      </c>
      <c r="C54" s="50" t="inlineStr">
        <is>
          <t>Schedule to 2 accounts</t>
        </is>
      </c>
      <c r="D54" s="50" t="inlineStr">
        <is>
          <t>On time</t>
        </is>
      </c>
      <c r="E54" s="50" t="inlineStr">
        <is>
          <t>P0</t>
        </is>
      </c>
      <c r="F54" s="50" t="inlineStr">
        <is>
          <t>Blocked</t>
        </is>
      </c>
      <c r="G54" s="50" t="inlineStr">
        <is>
          <t>No accounts.</t>
        </is>
      </c>
      <c r="H54" s="50" t="n"/>
      <c r="I54" s="50" t="inlineStr">
        <is>
          <t>Claude (QA)</t>
        </is>
      </c>
      <c r="J54" s="50" t="inlineStr">
        <is>
          <t>2026-09-27</t>
        </is>
      </c>
      <c r="K54" s="50" t="n"/>
    </row>
    <row r="55" ht="15" customHeight="1" s="31">
      <c r="A55" s="50" t="inlineStr">
        <is>
          <t>E3</t>
        </is>
      </c>
      <c r="B55" s="50" t="inlineStr">
        <is>
          <t>E. Composer</t>
        </is>
      </c>
      <c r="C55" s="50" t="inlineStr">
        <is>
          <t>Publish now</t>
        </is>
      </c>
      <c r="D55" s="50" t="inlineStr">
        <is>
          <t>Live &lt; 1 min</t>
        </is>
      </c>
      <c r="E55" s="50" t="inlineStr">
        <is>
          <t>P0</t>
        </is>
      </c>
      <c r="F55" s="50" t="inlineStr">
        <is>
          <t>Blocked</t>
        </is>
      </c>
      <c r="G55" s="50" t="inlineStr">
        <is>
          <t>No accounts.</t>
        </is>
      </c>
      <c r="H55" s="50" t="n"/>
      <c r="I55" s="50" t="inlineStr">
        <is>
          <t>Claude (QA)</t>
        </is>
      </c>
      <c r="J55" s="50" t="inlineStr">
        <is>
          <t>2026-09-27</t>
        </is>
      </c>
      <c r="K55" s="50" t="n"/>
    </row>
    <row r="56" ht="22.35" customHeight="1" s="31">
      <c r="A56" s="50" t="inlineStr">
        <is>
          <t>E4</t>
        </is>
      </c>
      <c r="B56" s="50" t="inlineStr">
        <is>
          <t>E. Composer</t>
        </is>
      </c>
      <c r="C56" s="50" t="inlineStr">
        <is>
          <t>Zero accounts selected</t>
        </is>
      </c>
      <c r="D56" s="50" t="inlineStr">
        <is>
          <t>Rejected with message + link; no ghost post</t>
        </is>
      </c>
      <c r="E56" s="50" t="inlineStr">
        <is>
          <t>P0</t>
        </is>
      </c>
      <c r="F56" s="50" t="inlineStr">
        <is>
          <t>Fail</t>
        </is>
      </c>
      <c r="G56" s="50" t="inlineStr">
        <is>
          <t>No message (see E1). 'Create Post' from an Idea creates a post record that never appears in Drafts/Queue (ghost post, reachable only by URL).</t>
        </is>
      </c>
      <c r="H56" s="50" t="inlineStr">
        <is>
          <t>BUG-14</t>
        </is>
      </c>
      <c r="I56" s="50" t="inlineStr">
        <is>
          <t>Claude (QA)</t>
        </is>
      </c>
      <c r="J56" s="50" t="inlineStr">
        <is>
          <t>2026-09-27</t>
        </is>
      </c>
      <c r="K56" s="50" t="n"/>
    </row>
    <row r="57" ht="15" customHeight="1" s="31">
      <c r="A57" s="50" t="inlineStr">
        <is>
          <t>E5</t>
        </is>
      </c>
      <c r="B57" s="50" t="inlineStr">
        <is>
          <t>E. Composer</t>
        </is>
      </c>
      <c r="C57" s="50" t="inlineStr">
        <is>
          <t>Past time rejected</t>
        </is>
      </c>
      <c r="D57" s="50" t="inlineStr">
        <is>
          <t>Message</t>
        </is>
      </c>
      <c r="E57" s="50" t="inlineStr">
        <is>
          <t>P1</t>
        </is>
      </c>
      <c r="F57" s="50" t="inlineStr">
        <is>
          <t>Blocked</t>
        </is>
      </c>
      <c r="G57" s="50" t="n"/>
      <c r="H57" s="50" t="n"/>
      <c r="I57" s="50" t="inlineStr">
        <is>
          <t>Claude (QA)</t>
        </is>
      </c>
      <c r="J57" s="50" t="inlineStr">
        <is>
          <t>2026-09-27</t>
        </is>
      </c>
      <c r="K57" s="50" t="n"/>
    </row>
    <row r="58" ht="15" customHeight="1" s="31">
      <c r="A58" s="50" t="inlineStr">
        <is>
          <t>E6</t>
        </is>
      </c>
      <c r="B58" s="50" t="inlineStr">
        <is>
          <t>E. Composer</t>
        </is>
      </c>
      <c r="C58" s="50" t="inlineStr">
        <is>
          <t>Character limit warning</t>
        </is>
      </c>
      <c r="D58" s="50" t="inlineStr">
        <is>
          <t>Warns</t>
        </is>
      </c>
      <c r="E58" s="50" t="inlineStr">
        <is>
          <t>P1</t>
        </is>
      </c>
      <c r="F58" s="50" t="inlineStr">
        <is>
          <t>Blocked</t>
        </is>
      </c>
      <c r="G58" s="50" t="inlineStr">
        <is>
          <t>Preview needs a platform.</t>
        </is>
      </c>
      <c r="H58" s="50" t="n"/>
      <c r="I58" s="50" t="inlineStr">
        <is>
          <t>Claude (QA)</t>
        </is>
      </c>
      <c r="J58" s="50" t="inlineStr">
        <is>
          <t>2026-09-27</t>
        </is>
      </c>
      <c r="K58" s="50" t="n"/>
    </row>
    <row r="59" ht="22.35" customHeight="1" s="31">
      <c r="A59" s="50" t="inlineStr">
        <is>
          <t>E7</t>
        </is>
      </c>
      <c r="B59" s="50" t="inlineStr">
        <is>
          <t>E. Composer</t>
        </is>
      </c>
      <c r="C59" s="50" t="inlineStr">
        <is>
          <t>Upload JPG/PNG/MP4, remove one</t>
        </is>
      </c>
      <c r="D59" s="50" t="inlineStr">
        <is>
          <t>Progress; removed not attached</t>
        </is>
      </c>
      <c r="E59" s="50" t="inlineStr">
        <is>
          <t>P0</t>
        </is>
      </c>
      <c r="F59" s="50" t="inlineStr">
        <is>
          <t>Partial</t>
        </is>
      </c>
      <c r="G59" s="50" t="inlineStr">
        <is>
          <t>PNG upload via media library works and persists. Composer attach/remove not tested (cannot save a post).</t>
        </is>
      </c>
      <c r="H59" s="50" t="n"/>
      <c r="I59" s="50" t="inlineStr">
        <is>
          <t>Claude (QA)</t>
        </is>
      </c>
      <c r="J59" s="50" t="inlineStr">
        <is>
          <t>2026-09-27</t>
        </is>
      </c>
      <c r="K59" s="50" t="n"/>
    </row>
    <row r="60" ht="32.8" customHeight="1" s="31">
      <c r="A60" s="50" t="inlineStr">
        <is>
          <t>E8</t>
        </is>
      </c>
      <c r="B60" s="50" t="inlineStr">
        <is>
          <t>E. Composer</t>
        </is>
      </c>
      <c r="C60" s="50" t="inlineStr">
        <is>
          <t>Oversized file and fake .jpg</t>
        </is>
      </c>
      <c r="D60" s="50" t="inlineStr">
        <is>
          <t>Rejected with message</t>
        </is>
      </c>
      <c r="E60" s="50" t="inlineStr">
        <is>
          <t>P1</t>
        </is>
      </c>
      <c r="F60" s="50" t="inlineStr">
        <is>
          <t>Fail</t>
        </is>
      </c>
      <c r="G60" s="50" t="inlineStr">
        <is>
          <t>Fake .jpg, SVG-with-script and HTML-renamed-.png were all rejected (good) but the server answers 200 with an empty body and the page reloads: the user never learns why the file vanished.</t>
        </is>
      </c>
      <c r="H60" s="50" t="inlineStr">
        <is>
          <t>BUG-15</t>
        </is>
      </c>
      <c r="I60" s="50" t="inlineStr">
        <is>
          <t>Claude (QA)</t>
        </is>
      </c>
      <c r="J60" s="50" t="inlineStr">
        <is>
          <t>2026-09-27</t>
        </is>
      </c>
      <c r="K60" s="50" t="n"/>
    </row>
    <row r="61" ht="15" customHeight="1" s="31">
      <c r="A61" s="50" t="inlineStr">
        <is>
          <t>E9</t>
        </is>
      </c>
      <c r="B61" s="50" t="inlineStr">
        <is>
          <t>E. Composer</t>
        </is>
      </c>
      <c r="C61" s="50" t="inlineStr">
        <is>
          <t>Unsplash import with attribution</t>
        </is>
      </c>
      <c r="D61" s="50" t="inlineStr">
        <is>
          <t>Attached</t>
        </is>
      </c>
      <c r="E61" s="50" t="inlineStr">
        <is>
          <t>P2</t>
        </is>
      </c>
      <c r="F61" s="50" t="inlineStr">
        <is>
          <t>Not run</t>
        </is>
      </c>
      <c r="G61" s="50" t="n"/>
      <c r="H61" s="50" t="n"/>
      <c r="I61" s="50" t="inlineStr">
        <is>
          <t>Claude (QA)</t>
        </is>
      </c>
      <c r="J61" s="50" t="inlineStr">
        <is>
          <t>2026-09-27</t>
        </is>
      </c>
      <c r="K61" s="50" t="n"/>
    </row>
    <row r="62" ht="15" customHeight="1" s="31">
      <c r="A62" s="50" t="inlineStr">
        <is>
          <t>E10</t>
        </is>
      </c>
      <c r="B62" s="50" t="inlineStr">
        <is>
          <t>E. Composer</t>
        </is>
      </c>
      <c r="C62" s="50" t="inlineStr">
        <is>
          <t>Save as template / use template</t>
        </is>
      </c>
      <c r="D62" s="50" t="inlineStr">
        <is>
          <t>Pre-filled</t>
        </is>
      </c>
      <c r="E62" s="50" t="inlineStr">
        <is>
          <t>P2</t>
        </is>
      </c>
      <c r="F62" s="50" t="inlineStr">
        <is>
          <t>Not run</t>
        </is>
      </c>
      <c r="G62" s="50" t="n"/>
      <c r="H62" s="50" t="n"/>
      <c r="I62" s="50" t="inlineStr">
        <is>
          <t>Claude (QA)</t>
        </is>
      </c>
      <c r="J62" s="50" t="inlineStr">
        <is>
          <t>2026-09-27</t>
        </is>
      </c>
      <c r="K62" s="50" t="n"/>
    </row>
    <row r="63" ht="15" customHeight="1" s="31">
      <c r="A63" s="50" t="inlineStr">
        <is>
          <t>E11</t>
        </is>
      </c>
      <c r="B63" s="50" t="inlineStr">
        <is>
          <t>E. Composer</t>
        </is>
      </c>
      <c r="C63" s="50" t="inlineStr">
        <is>
          <t>Tags and categories filter</t>
        </is>
      </c>
      <c r="D63" s="50" t="inlineStr">
        <is>
          <t>Filters</t>
        </is>
      </c>
      <c r="E63" s="50" t="inlineStr">
        <is>
          <t>P2</t>
        </is>
      </c>
      <c r="F63" s="50" t="inlineStr">
        <is>
          <t>Not run</t>
        </is>
      </c>
      <c r="G63" s="50" t="inlineStr">
        <is>
          <t>Plan link /tags/ returns raw JSON '[]' in the browser — no tag management page at that URL.</t>
        </is>
      </c>
      <c r="H63" s="50" t="inlineStr">
        <is>
          <t>BUG-26</t>
        </is>
      </c>
      <c r="I63" s="50" t="inlineStr">
        <is>
          <t>Claude (QA)</t>
        </is>
      </c>
      <c r="J63" s="50" t="inlineStr">
        <is>
          <t>2026-09-27</t>
        </is>
      </c>
      <c r="K63" s="50" t="n"/>
    </row>
    <row r="64" ht="15" customHeight="1" s="31">
      <c r="A64" s="50" t="inlineStr">
        <is>
          <t>E12</t>
        </is>
      </c>
      <c r="B64" s="50" t="inlineStr">
        <is>
          <t>E. Composer</t>
        </is>
      </c>
      <c r="C64" s="50" t="inlineStr">
        <is>
          <t>Edit scheduled post</t>
        </is>
      </c>
      <c r="D64" s="50" t="inlineStr">
        <is>
          <t>Publishes once</t>
        </is>
      </c>
      <c r="E64" s="50" t="inlineStr">
        <is>
          <t>P0</t>
        </is>
      </c>
      <c r="F64" s="50" t="inlineStr">
        <is>
          <t>Blocked</t>
        </is>
      </c>
      <c r="G64" s="50" t="n"/>
      <c r="H64" s="50" t="n"/>
      <c r="I64" s="50" t="inlineStr">
        <is>
          <t>Claude (QA)</t>
        </is>
      </c>
      <c r="J64" s="50" t="inlineStr">
        <is>
          <t>2026-09-27</t>
        </is>
      </c>
      <c r="K64" s="50" t="n"/>
    </row>
    <row r="65" ht="15" customHeight="1" s="31">
      <c r="A65" s="50" t="inlineStr">
        <is>
          <t>E13</t>
        </is>
      </c>
      <c r="B65" s="50" t="inlineStr">
        <is>
          <t>E. Composer</t>
        </is>
      </c>
      <c r="C65" s="50" t="inlineStr">
        <is>
          <t>Clone and delete</t>
        </is>
      </c>
      <c r="D65" s="50" t="inlineStr">
        <is>
          <t>Independent</t>
        </is>
      </c>
      <c r="E65" s="50" t="inlineStr">
        <is>
          <t>P1</t>
        </is>
      </c>
      <c r="F65" s="50" t="inlineStr">
        <is>
          <t>Partial</t>
        </is>
      </c>
      <c r="G65" s="50" t="inlineStr">
        <is>
          <t>Delete works with a clear confirm modal. Clone not tested.</t>
        </is>
      </c>
      <c r="H65" s="50" t="n"/>
      <c r="I65" s="50" t="inlineStr">
        <is>
          <t>Claude (QA)</t>
        </is>
      </c>
      <c r="J65" s="50" t="inlineStr">
        <is>
          <t>2026-09-27</t>
        </is>
      </c>
      <c r="K65" s="50" t="n"/>
    </row>
    <row r="66" ht="15" customHeight="1" s="31">
      <c r="A66" s="50" t="inlineStr">
        <is>
          <t>E14</t>
        </is>
      </c>
      <c r="B66" s="50" t="inlineStr">
        <is>
          <t>E. Composer</t>
        </is>
      </c>
      <c r="C66" s="50" t="inlineStr">
        <is>
          <t>Form error keeps text</t>
        </is>
      </c>
      <c r="D66" s="50" t="inlineStr">
        <is>
          <t>Kept</t>
        </is>
      </c>
      <c r="E66" s="50" t="inlineStr">
        <is>
          <t>P1</t>
        </is>
      </c>
      <c r="F66" s="50" t="inlineStr">
        <is>
          <t>Fail</t>
        </is>
      </c>
      <c r="G66" s="50" t="inlineStr">
        <is>
          <t>Covered by E1: text discarded with no error.</t>
        </is>
      </c>
      <c r="H66" s="50" t="inlineStr">
        <is>
          <t>BUG-13</t>
        </is>
      </c>
      <c r="I66" s="50" t="inlineStr">
        <is>
          <t>Claude (QA)</t>
        </is>
      </c>
      <c r="J66" s="50" t="inlineStr">
        <is>
          <t>2026-09-27</t>
        </is>
      </c>
      <c r="K66" s="50" t="n"/>
    </row>
    <row r="67" ht="22.35" customHeight="1" s="31">
      <c r="A67" s="50" t="inlineStr">
        <is>
          <t>E15</t>
        </is>
      </c>
      <c r="B67" s="50" t="inlineStr">
        <is>
          <t>E. Composer</t>
        </is>
      </c>
      <c r="C67" s="50" t="inlineStr">
        <is>
          <t>Autosave recovers text</t>
        </is>
      </c>
      <c r="D67" s="50" t="inlineStr">
        <is>
          <t>Recovered</t>
        </is>
      </c>
      <c r="E67" s="50" t="inlineStr">
        <is>
          <t>P2</t>
        </is>
      </c>
      <c r="F67" s="50" t="inlineStr">
        <is>
          <t>Partial</t>
        </is>
      </c>
      <c r="G67" s="50" t="inlineStr">
        <is>
          <t>After 4 s of idle the footer still read 'Not saved yet'. Retest with a longer wait and a connected account.</t>
        </is>
      </c>
      <c r="H67" s="50" t="n"/>
      <c r="I67" s="50" t="inlineStr">
        <is>
          <t>Claude (QA)</t>
        </is>
      </c>
      <c r="J67" s="50" t="inlineStr">
        <is>
          <t>2026-09-27</t>
        </is>
      </c>
      <c r="K67" s="50" t="n"/>
    </row>
    <row r="68" ht="22.35" customHeight="1" s="31">
      <c r="A68" s="50" t="inlineStr">
        <is>
          <t>E16</t>
        </is>
      </c>
      <c r="B68" s="50" t="inlineStr">
        <is>
          <t>E. Composer</t>
        </is>
      </c>
      <c r="C68" s="50" t="inlineStr">
        <is>
          <t>Ideas board create/move/convert</t>
        </is>
      </c>
      <c r="D68" s="50" t="inlineStr">
        <is>
          <t>Linked</t>
        </is>
      </c>
      <c r="E68" s="50" t="inlineStr">
        <is>
          <t>P2</t>
        </is>
      </c>
      <c r="F68" s="50" t="inlineStr">
        <is>
          <t>Partial</t>
        </is>
      </c>
      <c r="G68" s="50" t="inlineStr">
        <is>
          <t>Create, drag to 'To Do' and persistence work; XSS escaped. 'Create Post' drops the idea title (only the body is copied) and the post is invisible (E4).</t>
        </is>
      </c>
      <c r="H68" s="50" t="inlineStr">
        <is>
          <t>BUG-14</t>
        </is>
      </c>
      <c r="I68" s="50" t="inlineStr">
        <is>
          <t>Claude (QA)</t>
        </is>
      </c>
      <c r="J68" s="50" t="inlineStr">
        <is>
          <t>2026-09-27</t>
        </is>
      </c>
      <c r="K68" s="50" t="n"/>
    </row>
    <row r="69" ht="22.35" customHeight="1" s="31">
      <c r="A69" s="50" t="inlineStr">
        <is>
          <t>F1</t>
        </is>
      </c>
      <c r="B69" s="50" t="inlineStr">
        <is>
          <t>F. Calendar</t>
        </is>
      </c>
      <c r="C69" s="50" t="inlineStr">
        <is>
          <t>Month/week/list in workspace tz</t>
        </is>
      </c>
      <c r="D69" s="50" t="inlineStr">
        <is>
          <t>Correct</t>
        </is>
      </c>
      <c r="E69" s="50" t="inlineStr">
        <is>
          <t>P0</t>
        </is>
      </c>
      <c r="F69" s="50" t="inlineStr">
        <is>
          <t>Partial</t>
        </is>
      </c>
      <c r="G69" s="50" t="inlineStr">
        <is>
          <t>Month grid renders (workspace + org calendar). First click on 'Calendar' toggle did nothing; second worked. Could not verify placement (no posts).</t>
        </is>
      </c>
      <c r="H69" s="50" t="inlineStr">
        <is>
          <t>BUG-20</t>
        </is>
      </c>
      <c r="I69" s="50" t="inlineStr">
        <is>
          <t>Claude (QA)</t>
        </is>
      </c>
      <c r="J69" s="50" t="inlineStr">
        <is>
          <t>2026-09-27</t>
        </is>
      </c>
      <c r="K69" s="50" t="n"/>
    </row>
    <row r="70" ht="15" customHeight="1" s="31">
      <c r="A70" s="50" t="inlineStr">
        <is>
          <t>F2</t>
        </is>
      </c>
      <c r="B70" s="50" t="inlineStr">
        <is>
          <t>F. Calendar</t>
        </is>
      </c>
      <c r="C70" s="50" t="inlineStr">
        <is>
          <t>Drag to reschedule</t>
        </is>
      </c>
      <c r="D70" s="50" t="inlineStr">
        <is>
          <t>New time</t>
        </is>
      </c>
      <c r="E70" s="50" t="inlineStr">
        <is>
          <t>P0</t>
        </is>
      </c>
      <c r="F70" s="50" t="inlineStr">
        <is>
          <t>Blocked</t>
        </is>
      </c>
      <c r="G70" s="50" t="n"/>
      <c r="H70" s="50" t="n"/>
      <c r="I70" s="50" t="inlineStr">
        <is>
          <t>Claude (QA)</t>
        </is>
      </c>
      <c r="J70" s="50" t="inlineStr">
        <is>
          <t>2026-09-27</t>
        </is>
      </c>
      <c r="K70" s="50" t="n"/>
    </row>
    <row r="71" ht="15" customHeight="1" s="31">
      <c r="A71" s="50" t="inlineStr">
        <is>
          <t>F3</t>
        </is>
      </c>
      <c r="B71" s="50" t="inlineStr">
        <is>
          <t>F. Calendar</t>
        </is>
      </c>
      <c r="C71" s="50" t="inlineStr">
        <is>
          <t>Concurrent drag -&gt; 409</t>
        </is>
      </c>
      <c r="D71" s="50" t="inlineStr">
        <is>
          <t>409 message</t>
        </is>
      </c>
      <c r="E71" s="50" t="inlineStr">
        <is>
          <t>P1</t>
        </is>
      </c>
      <c r="F71" s="50" t="inlineStr">
        <is>
          <t>Blocked</t>
        </is>
      </c>
      <c r="G71" s="50" t="n"/>
      <c r="H71" s="50" t="n"/>
      <c r="I71" s="50" t="inlineStr">
        <is>
          <t>Claude (QA)</t>
        </is>
      </c>
      <c r="J71" s="50" t="inlineStr">
        <is>
          <t>2026-09-27</t>
        </is>
      </c>
      <c r="K71" s="50" t="n"/>
    </row>
    <row r="72" ht="15" customHeight="1" s="31">
      <c r="A72" s="50" t="inlineStr">
        <is>
          <t>F4</t>
        </is>
      </c>
      <c r="B72" s="50" t="inlineStr">
        <is>
          <t>F. Calendar</t>
        </is>
      </c>
      <c r="C72" s="50" t="inlineStr">
        <is>
          <t>Recurring post</t>
        </is>
      </c>
      <c r="D72" s="50" t="inlineStr">
        <is>
          <t>Each once</t>
        </is>
      </c>
      <c r="E72" s="50" t="inlineStr">
        <is>
          <t>P1</t>
        </is>
      </c>
      <c r="F72" s="50" t="inlineStr">
        <is>
          <t>Blocked</t>
        </is>
      </c>
      <c r="G72" s="50" t="n"/>
      <c r="H72" s="50" t="n"/>
      <c r="I72" s="50" t="inlineStr">
        <is>
          <t>Claude (QA)</t>
        </is>
      </c>
      <c r="J72" s="50" t="inlineStr">
        <is>
          <t>2026-09-27</t>
        </is>
      </c>
      <c r="K72" s="50" t="n"/>
    </row>
    <row r="73" ht="15" customHeight="1" s="31">
      <c r="A73" s="50" t="inlineStr">
        <is>
          <t>F5</t>
        </is>
      </c>
      <c r="B73" s="50" t="inlineStr">
        <is>
          <t>F. Calendar</t>
        </is>
      </c>
      <c r="C73" s="50" t="inlineStr">
        <is>
          <t>Calendar events CRUD</t>
        </is>
      </c>
      <c r="D73" s="50" t="inlineStr">
        <is>
          <t>Valid</t>
        </is>
      </c>
      <c r="E73" s="50" t="inlineStr">
        <is>
          <t>P2</t>
        </is>
      </c>
      <c r="F73" s="50" t="inlineStr">
        <is>
          <t>Not run</t>
        </is>
      </c>
      <c r="G73" s="50" t="n"/>
      <c r="H73" s="50" t="n"/>
      <c r="I73" s="50" t="inlineStr">
        <is>
          <t>Claude (QA)</t>
        </is>
      </c>
      <c r="J73" s="50" t="inlineStr">
        <is>
          <t>2026-09-27</t>
        </is>
      </c>
      <c r="K73" s="50" t="n"/>
    </row>
    <row r="74" ht="15" customHeight="1" s="31">
      <c r="A74" s="50" t="inlineStr">
        <is>
          <t>F6</t>
        </is>
      </c>
      <c r="B74" s="50" t="inlineStr">
        <is>
          <t>F. Calendar</t>
        </is>
      </c>
      <c r="C74" s="50" t="inlineStr">
        <is>
          <t>Bulk delete mix</t>
        </is>
      </c>
      <c r="D74" s="50" t="inlineStr">
        <is>
          <t>Skips published</t>
        </is>
      </c>
      <c r="E74" s="50" t="inlineStr">
        <is>
          <t>P1</t>
        </is>
      </c>
      <c r="F74" s="50" t="inlineStr">
        <is>
          <t>Blocked</t>
        </is>
      </c>
      <c r="G74" s="50" t="n"/>
      <c r="H74" s="50" t="n"/>
      <c r="I74" s="50" t="inlineStr">
        <is>
          <t>Claude (QA)</t>
        </is>
      </c>
      <c r="J74" s="50" t="inlineStr">
        <is>
          <t>2026-09-27</t>
        </is>
      </c>
      <c r="K74" s="50" t="n"/>
    </row>
    <row r="75" ht="15" customHeight="1" s="31">
      <c r="A75" s="50" t="inlineStr">
        <is>
          <t>F7</t>
        </is>
      </c>
      <c r="B75" s="50" t="inlineStr">
        <is>
          <t>F. Calendar</t>
        </is>
      </c>
      <c r="C75" s="50" t="inlineStr">
        <is>
          <t>Slots and queues</t>
        </is>
      </c>
      <c r="D75" s="50" t="inlineStr">
        <is>
          <t>Next slots</t>
        </is>
      </c>
      <c r="E75" s="50" t="inlineStr">
        <is>
          <t>P2</t>
        </is>
      </c>
      <c r="F75" s="50" t="inlineStr">
        <is>
          <t>Not run</t>
        </is>
      </c>
      <c r="G75" s="50" t="inlineStr">
        <is>
          <t>Pages load (200).</t>
        </is>
      </c>
      <c r="H75" s="50" t="n"/>
      <c r="I75" s="50" t="inlineStr">
        <is>
          <t>Claude (QA)</t>
        </is>
      </c>
      <c r="J75" s="50" t="inlineStr">
        <is>
          <t>2026-09-27</t>
        </is>
      </c>
      <c r="K75" s="50" t="n"/>
    </row>
    <row r="76" ht="22.35" customHeight="1" s="31">
      <c r="A76" s="50" t="inlineStr">
        <is>
          <t>F8</t>
        </is>
      </c>
      <c r="B76" s="50" t="inlineStr">
        <is>
          <t>F. Calendar</t>
        </is>
      </c>
      <c r="C76" s="50" t="inlineStr">
        <is>
          <t>Queue/Drafts/Approvals/Sent tabs</t>
        </is>
      </c>
      <c r="D76" s="50" t="inlineStr">
        <is>
          <t>Right posts</t>
        </is>
      </c>
      <c r="E76" s="50" t="inlineStr">
        <is>
          <t>P1</t>
        </is>
      </c>
      <c r="F76" s="50" t="inlineStr">
        <is>
          <t>Fail</t>
        </is>
      </c>
      <c r="G76" s="50" t="inlineStr">
        <is>
          <t>With no channel connected every tab shows the same 'Welcome — Connect a channel' empty state, so Drafts cannot be reached from Publish.</t>
        </is>
      </c>
      <c r="H76" s="50" t="inlineStr">
        <is>
          <t>BUG-20</t>
        </is>
      </c>
      <c r="I76" s="50" t="inlineStr">
        <is>
          <t>Claude (QA)</t>
        </is>
      </c>
      <c r="J76" s="50" t="inlineStr">
        <is>
          <t>2026-09-27</t>
        </is>
      </c>
      <c r="K76" s="50" t="n"/>
    </row>
    <row r="77" ht="15" customHeight="1" s="31">
      <c r="A77" s="50" t="inlineStr">
        <is>
          <t>G1</t>
        </is>
      </c>
      <c r="B77" s="50" t="inlineStr">
        <is>
          <t>G. Approvals/portal</t>
        </is>
      </c>
      <c r="C77" s="50" t="inlineStr">
        <is>
          <t>Contributor submits (internal)</t>
        </is>
      </c>
      <c r="D77" s="50" t="inlineStr">
        <is>
          <t>Pending review</t>
        </is>
      </c>
      <c r="E77" s="50" t="inlineStr">
        <is>
          <t>P0</t>
        </is>
      </c>
      <c r="F77" s="50" t="inlineStr">
        <is>
          <t>Blocked</t>
        </is>
      </c>
      <c r="G77" s="50" t="inlineStr">
        <is>
          <t>Needs a contributor user (SMTP).</t>
        </is>
      </c>
      <c r="H77" s="50" t="n"/>
      <c r="I77" s="50" t="inlineStr">
        <is>
          <t>Claude (QA)</t>
        </is>
      </c>
      <c r="J77" s="50" t="inlineStr">
        <is>
          <t>2026-09-27</t>
        </is>
      </c>
      <c r="K77" s="50" t="n"/>
    </row>
    <row r="78" ht="15" customHeight="1" s="31">
      <c r="A78" s="50" t="inlineStr">
        <is>
          <t>G2</t>
        </is>
      </c>
      <c r="B78" s="50" t="inlineStr">
        <is>
          <t>G. Approvals/portal</t>
        </is>
      </c>
      <c r="C78" s="50" t="inlineStr">
        <is>
          <t>Manager approve/changes/reject</t>
        </is>
      </c>
      <c r="D78" s="50" t="inlineStr">
        <is>
          <t>Status + notify</t>
        </is>
      </c>
      <c r="E78" s="50" t="inlineStr">
        <is>
          <t>P0</t>
        </is>
      </c>
      <c r="F78" s="50" t="inlineStr">
        <is>
          <t>Blocked</t>
        </is>
      </c>
      <c r="G78" s="50" t="n"/>
      <c r="H78" s="50" t="n"/>
      <c r="I78" s="50" t="inlineStr">
        <is>
          <t>Claude (QA)</t>
        </is>
      </c>
      <c r="J78" s="50" t="inlineStr">
        <is>
          <t>2026-09-27</t>
        </is>
      </c>
      <c r="K78" s="50" t="n"/>
    </row>
    <row r="79" ht="15" customHeight="1" s="31">
      <c r="A79" s="50" t="inlineStr">
        <is>
          <t>G3</t>
        </is>
      </c>
      <c r="B79" s="50" t="inlineStr">
        <is>
          <t>G. Approvals/portal</t>
        </is>
      </c>
      <c r="C79" s="50" t="inlineStr">
        <is>
          <t>Client magic-link email</t>
        </is>
      </c>
      <c r="D79" s="50" t="inlineStr">
        <is>
          <t>Opens portal</t>
        </is>
      </c>
      <c r="E79" s="50" t="inlineStr">
        <is>
          <t>P0</t>
        </is>
      </c>
      <c r="F79" s="50" t="inlineStr">
        <is>
          <t>Blocked</t>
        </is>
      </c>
      <c r="G79" s="50" t="inlineStr">
        <is>
          <t>No SMTP.</t>
        </is>
      </c>
      <c r="H79" s="50" t="inlineStr">
        <is>
          <t>BUG-02</t>
        </is>
      </c>
      <c r="I79" s="50" t="inlineStr">
        <is>
          <t>Claude (QA)</t>
        </is>
      </c>
      <c r="J79" s="50" t="inlineStr">
        <is>
          <t>2026-09-27</t>
        </is>
      </c>
      <c r="K79" s="50" t="n"/>
    </row>
    <row r="80" ht="15" customHeight="1" s="31">
      <c r="A80" s="50" t="inlineStr">
        <is>
          <t>G4</t>
        </is>
      </c>
      <c r="B80" s="50" t="inlineStr">
        <is>
          <t>G. Approvals/portal</t>
        </is>
      </c>
      <c r="C80" s="50" t="inlineStr">
        <is>
          <t>Client approve/reject/hold</t>
        </is>
      </c>
      <c r="D80" s="50" t="inlineStr">
        <is>
          <t>Held doesn't publish</t>
        </is>
      </c>
      <c r="E80" s="50" t="inlineStr">
        <is>
          <t>P0</t>
        </is>
      </c>
      <c r="F80" s="50" t="inlineStr">
        <is>
          <t>Blocked</t>
        </is>
      </c>
      <c r="G80" s="50" t="n"/>
      <c r="H80" s="50" t="n"/>
      <c r="I80" s="50" t="inlineStr">
        <is>
          <t>Claude (QA)</t>
        </is>
      </c>
      <c r="J80" s="50" t="inlineStr">
        <is>
          <t>2026-09-27</t>
        </is>
      </c>
      <c r="K80" s="50" t="n"/>
    </row>
    <row r="81" ht="22.35" customHeight="1" s="31">
      <c r="A81" s="50" t="inlineStr">
        <is>
          <t>G5</t>
        </is>
      </c>
      <c r="B81" s="50" t="inlineStr">
        <is>
          <t>G. Approvals/portal</t>
        </is>
      </c>
      <c r="C81" s="50" t="inlineStr">
        <is>
          <t>Expired/reused magic link</t>
        </is>
      </c>
      <c r="D81" s="50" t="inlineStr">
        <is>
          <t>Expired page</t>
        </is>
      </c>
      <c r="E81" s="50" t="inlineStr">
        <is>
          <t>P1</t>
        </is>
      </c>
      <c r="F81" s="50" t="inlineStr">
        <is>
          <t>Pass</t>
        </is>
      </c>
      <c r="G81" s="50" t="inlineStr">
        <is>
          <t>/portal/ without a token redirects to a 'This link has expired' page with no access. Copy is misleading when there was never a link.</t>
        </is>
      </c>
      <c r="H81" s="50" t="inlineStr">
        <is>
          <t>BUG-24</t>
        </is>
      </c>
      <c r="I81" s="50" t="inlineStr">
        <is>
          <t>Claude (QA)</t>
        </is>
      </c>
      <c r="J81" s="50" t="inlineStr">
        <is>
          <t>2026-09-27</t>
        </is>
      </c>
      <c r="K81" s="50" t="n"/>
    </row>
    <row r="82" ht="15" customHeight="1" s="31">
      <c r="A82" s="50" t="inlineStr">
        <is>
          <t>G6</t>
        </is>
      </c>
      <c r="B82" s="50" t="inlineStr">
        <is>
          <t>G. Approvals/portal</t>
        </is>
      </c>
      <c r="C82" s="50" t="inlineStr">
        <is>
          <t>Comments own vs others</t>
        </is>
      </c>
      <c r="D82" s="50" t="inlineStr">
        <is>
          <t>Others blocked</t>
        </is>
      </c>
      <c r="E82" s="50" t="inlineStr">
        <is>
          <t>P1</t>
        </is>
      </c>
      <c r="F82" s="50" t="inlineStr">
        <is>
          <t>Blocked</t>
        </is>
      </c>
      <c r="G82" s="50" t="n"/>
      <c r="H82" s="50" t="n"/>
      <c r="I82" s="50" t="inlineStr">
        <is>
          <t>Claude (QA)</t>
        </is>
      </c>
      <c r="J82" s="50" t="inlineStr">
        <is>
          <t>2026-09-27</t>
        </is>
      </c>
      <c r="K82" s="50" t="n"/>
    </row>
    <row r="83" ht="15" customHeight="1" s="31">
      <c r="A83" s="50" t="inlineStr">
        <is>
          <t>G7</t>
        </is>
      </c>
      <c r="B83" s="50" t="inlineStr">
        <is>
          <t>G. Approvals/portal</t>
        </is>
      </c>
      <c r="C83" s="50" t="inlineStr">
        <is>
          <t>Version diff</t>
        </is>
      </c>
      <c r="D83" s="50" t="inlineStr">
        <is>
          <t>Shows diff</t>
        </is>
      </c>
      <c r="E83" s="50" t="inlineStr">
        <is>
          <t>P2</t>
        </is>
      </c>
      <c r="F83" s="50" t="inlineStr">
        <is>
          <t>Blocked</t>
        </is>
      </c>
      <c r="G83" s="50" t="n"/>
      <c r="H83" s="50" t="n"/>
      <c r="I83" s="50" t="inlineStr">
        <is>
          <t>Claude (QA)</t>
        </is>
      </c>
      <c r="J83" s="50" t="inlineStr">
        <is>
          <t>2026-09-27</t>
        </is>
      </c>
      <c r="K83" s="50" t="n"/>
    </row>
    <row r="84" ht="15" customHeight="1" s="31">
      <c r="A84" s="50" t="inlineStr">
        <is>
          <t>G8</t>
        </is>
      </c>
      <c r="B84" s="50" t="inlineStr">
        <is>
          <t>G. Approvals/portal</t>
        </is>
      </c>
      <c r="C84" s="50" t="inlineStr">
        <is>
          <t>Reminder email once</t>
        </is>
      </c>
      <c r="D84" s="50" t="inlineStr">
        <is>
          <t>Once</t>
        </is>
      </c>
      <c r="E84" s="50" t="inlineStr">
        <is>
          <t>P2</t>
        </is>
      </c>
      <c r="F84" s="50" t="inlineStr">
        <is>
          <t>Blocked</t>
        </is>
      </c>
      <c r="G84" s="50" t="n"/>
      <c r="H84" s="50" t="n"/>
      <c r="I84" s="50" t="inlineStr">
        <is>
          <t>Claude (QA)</t>
        </is>
      </c>
      <c r="J84" s="50" t="inlineStr">
        <is>
          <t>2026-09-27</t>
        </is>
      </c>
      <c r="K84" s="50" t="n"/>
    </row>
    <row r="85" ht="15" customHeight="1" s="31">
      <c r="A85" s="50" t="inlineStr">
        <is>
          <t>G9</t>
        </is>
      </c>
      <c r="B85" s="50" t="inlineStr">
        <is>
          <t>G. Approvals/portal</t>
        </is>
      </c>
      <c r="C85" s="50" t="inlineStr">
        <is>
          <t>Portal pages scoped to client</t>
        </is>
      </c>
      <c r="D85" s="50" t="inlineStr">
        <is>
          <t>Scoped</t>
        </is>
      </c>
      <c r="E85" s="50" t="inlineStr">
        <is>
          <t>P1</t>
        </is>
      </c>
      <c r="F85" s="50" t="inlineStr">
        <is>
          <t>Blocked</t>
        </is>
      </c>
      <c r="G85" s="50" t="n"/>
      <c r="H85" s="50" t="n"/>
      <c r="I85" s="50" t="inlineStr">
        <is>
          <t>Claude (QA)</t>
        </is>
      </c>
      <c r="J85" s="50" t="inlineStr">
        <is>
          <t>2026-09-27</t>
        </is>
      </c>
      <c r="K85" s="50" t="n"/>
    </row>
    <row r="86" ht="32.8" customHeight="1" s="31">
      <c r="A86" s="50" t="inlineStr">
        <is>
          <t>H1</t>
        </is>
      </c>
      <c r="B86" s="50" t="inlineStr">
        <is>
          <t>H. CSV import</t>
        </is>
      </c>
      <c r="C86" s="50" t="inlineStr">
        <is>
          <t>Editor imports 20-row CSV</t>
        </is>
      </c>
      <c r="D86" s="50" t="inlineStr">
        <is>
          <t>Preview then import</t>
        </is>
      </c>
      <c r="E86" s="50" t="inlineStr">
        <is>
          <t>P1</t>
        </is>
      </c>
      <c r="F86" s="50" t="inlineStr">
        <is>
          <t>Fail</t>
        </is>
      </c>
      <c r="G86" s="50" t="inlineStr">
        <is>
          <t>'Validate &amp; Preview' returns Server Error (500) even for a clean 1-row CSV. Log: AttributeError: type object 'SocialAccount' has no attribute 'Platform' (apps/composer/views.py line 3434, csv_preview).</t>
        </is>
      </c>
      <c r="H86" s="50" t="inlineStr">
        <is>
          <t>BUG-16</t>
        </is>
      </c>
      <c r="I86" s="50" t="inlineStr">
        <is>
          <t>Claude (QA)</t>
        </is>
      </c>
      <c r="J86" s="50" t="inlineStr">
        <is>
          <t>2026-09-27</t>
        </is>
      </c>
      <c r="K86" s="50" t="n"/>
    </row>
    <row r="87" ht="15" customHeight="1" s="31">
      <c r="A87" s="50" t="inlineStr">
        <is>
          <t>H2</t>
        </is>
      </c>
      <c r="B87" s="50" t="inlineStr">
        <is>
          <t>H. CSV import</t>
        </is>
      </c>
      <c r="C87" s="50" t="inlineStr">
        <is>
          <t>Contributor import -&gt; Pending review</t>
        </is>
      </c>
      <c r="D87" s="50" t="inlineStr">
        <is>
          <t>Pending</t>
        </is>
      </c>
      <c r="E87" s="50" t="inlineStr">
        <is>
          <t>P0</t>
        </is>
      </c>
      <c r="F87" s="50" t="inlineStr">
        <is>
          <t>Blocked</t>
        </is>
      </c>
      <c r="G87" s="50" t="inlineStr">
        <is>
          <t>Blocked by H1.</t>
        </is>
      </c>
      <c r="H87" s="50" t="inlineStr">
        <is>
          <t>BUG-16</t>
        </is>
      </c>
      <c r="I87" s="50" t="inlineStr">
        <is>
          <t>Claude (QA)</t>
        </is>
      </c>
      <c r="J87" s="50" t="inlineStr">
        <is>
          <t>2026-09-27</t>
        </is>
      </c>
      <c r="K87" s="50" t="n"/>
    </row>
    <row r="88" ht="15" customHeight="1" s="31">
      <c r="A88" s="50" t="inlineStr">
        <is>
          <t>H3</t>
        </is>
      </c>
      <c r="B88" s="50" t="inlineStr">
        <is>
          <t>H. CSV import</t>
        </is>
      </c>
      <c r="C88" s="50" t="inlineStr">
        <is>
          <t>Bad file -&gt; row-level errors</t>
        </is>
      </c>
      <c r="D88" s="50" t="inlineStr">
        <is>
          <t>Row errors</t>
        </is>
      </c>
      <c r="E88" s="50" t="inlineStr">
        <is>
          <t>P1</t>
        </is>
      </c>
      <c r="F88" s="50" t="inlineStr">
        <is>
          <t>Fail</t>
        </is>
      </c>
      <c r="G88" s="50" t="inlineStr">
        <is>
          <t>500 instead of row errors.</t>
        </is>
      </c>
      <c r="H88" s="50" t="inlineStr">
        <is>
          <t>BUG-16</t>
        </is>
      </c>
      <c r="I88" s="50" t="inlineStr">
        <is>
          <t>Claude (QA)</t>
        </is>
      </c>
      <c r="J88" s="50" t="inlineStr">
        <is>
          <t>2026-09-27</t>
        </is>
      </c>
      <c r="K88" s="50" t="n"/>
    </row>
    <row r="89" ht="22.35" customHeight="1" s="31">
      <c r="A89" s="50" t="inlineStr">
        <is>
          <t>I1</t>
        </is>
      </c>
      <c r="B89" s="50" t="inlineStr">
        <is>
          <t>I. Media library</t>
        </is>
      </c>
      <c r="C89" s="50" t="inlineStr">
        <is>
          <t>Upload, folders, move, delete; persists after redeploy</t>
        </is>
      </c>
      <c r="D89" s="50" t="inlineStr">
        <is>
          <t>Persists (S3)</t>
        </is>
      </c>
      <c r="E89" s="50" t="inlineStr">
        <is>
          <t>P0</t>
        </is>
      </c>
      <c r="F89" s="50" t="inlineStr">
        <is>
          <t>Fail</t>
        </is>
      </c>
      <c r="G89" s="50" t="inlineStr">
        <is>
          <t>Upload, reload and delete work. Storage is local disk (see PRE-4). Folders/move not tested.</t>
        </is>
      </c>
      <c r="H89" s="50" t="inlineStr">
        <is>
          <t>BUG-03</t>
        </is>
      </c>
      <c r="I89" s="50" t="inlineStr">
        <is>
          <t>Claude (QA)</t>
        </is>
      </c>
      <c r="J89" s="50" t="inlineStr">
        <is>
          <t>2026-09-27</t>
        </is>
      </c>
      <c r="K89" s="50" t="n"/>
    </row>
    <row r="90" ht="22.35" customHeight="1" s="31">
      <c r="A90" s="50" t="inlineStr">
        <is>
          <t>I2</t>
        </is>
      </c>
      <c r="B90" s="50" t="inlineStr">
        <is>
          <t>I. Media library</t>
        </is>
      </c>
      <c r="C90" s="50" t="inlineStr">
        <is>
          <t>Video thumbnail</t>
        </is>
      </c>
      <c r="D90" s="50" t="inlineStr">
        <is>
          <t>Thumbnail</t>
        </is>
      </c>
      <c r="E90" s="50" t="inlineStr">
        <is>
          <t>P2</t>
        </is>
      </c>
      <c r="F90" s="50" t="inlineStr">
        <is>
          <t>Fail</t>
        </is>
      </c>
      <c r="G90" s="50" t="inlineStr">
        <is>
          <t>Existing MP4 shows a grey play icon, no thumbnail; the detail-panel player stays at 0:00 and never loads.</t>
        </is>
      </c>
      <c r="H90" s="50" t="inlineStr">
        <is>
          <t>BUG-21</t>
        </is>
      </c>
      <c r="I90" s="50" t="inlineStr">
        <is>
          <t>Claude (QA)</t>
        </is>
      </c>
      <c r="J90" s="50" t="inlineStr">
        <is>
          <t>2026-09-27</t>
        </is>
      </c>
      <c r="K90" s="50" t="n"/>
    </row>
    <row r="91" ht="15" customHeight="1" s="31">
      <c r="A91" s="50" t="inlineStr">
        <is>
          <t>I3</t>
        </is>
      </c>
      <c r="B91" s="50" t="inlineStr">
        <is>
          <t>I. Media library</t>
        </is>
      </c>
      <c r="C91" s="50" t="inlineStr">
        <is>
          <t>Storage quota message</t>
        </is>
      </c>
      <c r="D91" s="50" t="inlineStr">
        <is>
          <t>Clear</t>
        </is>
      </c>
      <c r="E91" s="50" t="inlineStr">
        <is>
          <t>P2</t>
        </is>
      </c>
      <c r="F91" s="50" t="inlineStr">
        <is>
          <t>Not run</t>
        </is>
      </c>
      <c r="G91" s="50" t="n"/>
      <c r="H91" s="50" t="n"/>
      <c r="I91" s="50" t="inlineStr">
        <is>
          <t>Claude (QA)</t>
        </is>
      </c>
      <c r="J91" s="50" t="inlineStr">
        <is>
          <t>2026-09-27</t>
        </is>
      </c>
      <c r="K91" s="50" t="n"/>
    </row>
    <row r="92" ht="15" customHeight="1" s="31">
      <c r="A92" s="50" t="inlineStr">
        <is>
          <t>J1</t>
        </is>
      </c>
      <c r="B92" s="50" t="inlineStr">
        <is>
          <t>J. Beta features</t>
        </is>
      </c>
      <c r="C92" s="50" t="inlineStr">
        <is>
          <t>Inbox shows comments</t>
        </is>
      </c>
      <c r="D92" s="50" t="inlineStr">
        <is>
          <t>Shown</t>
        </is>
      </c>
      <c r="E92" s="50" t="inlineStr">
        <is>
          <t>P2</t>
        </is>
      </c>
      <c r="F92" s="50" t="inlineStr">
        <is>
          <t>Blocked</t>
        </is>
      </c>
      <c r="G92" s="50" t="n"/>
      <c r="H92" s="50" t="n"/>
      <c r="I92" s="50" t="inlineStr">
        <is>
          <t>Claude (QA)</t>
        </is>
      </c>
      <c r="J92" s="50" t="inlineStr">
        <is>
          <t>2026-09-27</t>
        </is>
      </c>
      <c r="K92" s="50" t="n"/>
    </row>
    <row r="93" ht="15" customHeight="1" s="31">
      <c r="A93" s="50" t="inlineStr">
        <is>
          <t>J2</t>
        </is>
      </c>
      <c r="B93" s="50" t="inlineStr">
        <is>
          <t>J. Beta features</t>
        </is>
      </c>
      <c r="C93" s="50" t="inlineStr">
        <is>
          <t>Inbox reply/notes/assign</t>
        </is>
      </c>
      <c r="D93" s="50" t="inlineStr">
        <is>
          <t>Saved</t>
        </is>
      </c>
      <c r="E93" s="50" t="inlineStr">
        <is>
          <t>P2</t>
        </is>
      </c>
      <c r="F93" s="50" t="inlineStr">
        <is>
          <t>Blocked</t>
        </is>
      </c>
      <c r="G93" s="50" t="n"/>
      <c r="H93" s="50" t="n"/>
      <c r="I93" s="50" t="inlineStr">
        <is>
          <t>Claude (QA)</t>
        </is>
      </c>
      <c r="J93" s="50" t="inlineStr">
        <is>
          <t>2026-09-27</t>
        </is>
      </c>
      <c r="K93" s="50" t="n"/>
    </row>
    <row r="94" ht="15" customHeight="1" s="31">
      <c r="A94" s="50" t="inlineStr">
        <is>
          <t>J3</t>
        </is>
      </c>
      <c r="B94" s="50" t="inlineStr">
        <is>
          <t>J. Beta features</t>
        </is>
      </c>
      <c r="C94" s="50" t="inlineStr">
        <is>
          <t>Analytics numbers; no crash on empty</t>
        </is>
      </c>
      <c r="D94" s="50" t="inlineStr">
        <is>
          <t>No crash</t>
        </is>
      </c>
      <c r="E94" s="50" t="inlineStr">
        <is>
          <t>P2</t>
        </is>
      </c>
      <c r="F94" s="50" t="inlineStr">
        <is>
          <t>Pass</t>
        </is>
      </c>
      <c r="G94" s="50" t="inlineStr">
        <is>
          <t>Empty state renders without error (no accounts).</t>
        </is>
      </c>
      <c r="H94" s="50" t="n"/>
      <c r="I94" s="50" t="inlineStr">
        <is>
          <t>Claude (QA)</t>
        </is>
      </c>
      <c r="J94" s="50" t="inlineStr">
        <is>
          <t>2026-09-27</t>
        </is>
      </c>
      <c r="K94" s="50" t="n"/>
    </row>
    <row r="95" ht="15" customHeight="1" s="31">
      <c r="A95" s="50" t="inlineStr">
        <is>
          <t>J4</t>
        </is>
      </c>
      <c r="B95" s="50" t="inlineStr">
        <is>
          <t>J. Beta features</t>
        </is>
      </c>
      <c r="C95" s="50" t="inlineStr">
        <is>
          <t>Bell unread count polls</t>
        </is>
      </c>
      <c r="D95" s="50" t="inlineStr">
        <is>
          <t>Updates</t>
        </is>
      </c>
      <c r="E95" s="50" t="inlineStr">
        <is>
          <t>P1</t>
        </is>
      </c>
      <c r="F95" s="50" t="inlineStr">
        <is>
          <t>Not run</t>
        </is>
      </c>
      <c r="G95" s="50" t="n"/>
      <c r="H95" s="50" t="n"/>
      <c r="I95" s="50" t="inlineStr">
        <is>
          <t>Claude (QA)</t>
        </is>
      </c>
      <c r="J95" s="50" t="inlineStr">
        <is>
          <t>2026-09-27</t>
        </is>
      </c>
      <c r="K95" s="50" t="n"/>
    </row>
    <row r="96" ht="15" customHeight="1" s="31">
      <c r="A96" s="50" t="inlineStr">
        <is>
          <t>J5</t>
        </is>
      </c>
      <c r="B96" s="50" t="inlineStr">
        <is>
          <t>J. Beta features</t>
        </is>
      </c>
      <c r="C96" s="50" t="inlineStr">
        <is>
          <t>Failed publish notifies owner</t>
        </is>
      </c>
      <c r="D96" s="50" t="inlineStr">
        <is>
          <t>In-app + email</t>
        </is>
      </c>
      <c r="E96" s="50" t="inlineStr">
        <is>
          <t>P0</t>
        </is>
      </c>
      <c r="F96" s="50" t="inlineStr">
        <is>
          <t>Blocked</t>
        </is>
      </c>
      <c r="G96" s="50" t="inlineStr">
        <is>
          <t>No SMTP, no accounts.</t>
        </is>
      </c>
      <c r="H96" s="50" t="inlineStr">
        <is>
          <t>BUG-02</t>
        </is>
      </c>
      <c r="I96" s="50" t="inlineStr">
        <is>
          <t>Claude (QA)</t>
        </is>
      </c>
      <c r="J96" s="50" t="inlineStr">
        <is>
          <t>2026-09-27</t>
        </is>
      </c>
      <c r="K96" s="50" t="n"/>
    </row>
    <row r="97" ht="15" customHeight="1" s="31">
      <c r="A97" s="50" t="inlineStr">
        <is>
          <t>K1</t>
        </is>
      </c>
      <c r="B97" s="50" t="inlineStr">
        <is>
          <t>K. Permissions</t>
        </is>
      </c>
      <c r="C97" s="50" t="inlineStr">
        <is>
          <t>Viewer writes all 403</t>
        </is>
      </c>
      <c r="D97" s="50" t="inlineStr">
        <is>
          <t>403</t>
        </is>
      </c>
      <c r="E97" s="50" t="inlineStr">
        <is>
          <t>P0</t>
        </is>
      </c>
      <c r="F97" s="50" t="inlineStr">
        <is>
          <t>Blocked</t>
        </is>
      </c>
      <c r="G97" s="50" t="inlineStr">
        <is>
          <t>Needs role users (SMTP).</t>
        </is>
      </c>
      <c r="H97" s="50" t="n"/>
      <c r="I97" s="50" t="inlineStr">
        <is>
          <t>Claude (QA)</t>
        </is>
      </c>
      <c r="J97" s="50" t="inlineStr">
        <is>
          <t>2026-09-27</t>
        </is>
      </c>
      <c r="K97" s="50" t="n"/>
    </row>
    <row r="98" ht="15" customHeight="1" s="31">
      <c r="A98" s="50" t="inlineStr">
        <is>
          <t>K2</t>
        </is>
      </c>
      <c r="B98" s="50" t="inlineStr">
        <is>
          <t>K. Permissions</t>
        </is>
      </c>
      <c r="C98" s="50" t="inlineStr">
        <is>
          <t>Contributor cannot publish directly</t>
        </is>
      </c>
      <c r="D98" s="50" t="inlineStr">
        <is>
          <t>Pending review</t>
        </is>
      </c>
      <c r="E98" s="50" t="inlineStr">
        <is>
          <t>P0</t>
        </is>
      </c>
      <c r="F98" s="50" t="inlineStr">
        <is>
          <t>Blocked</t>
        </is>
      </c>
      <c r="G98" s="50" t="n"/>
      <c r="H98" s="50" t="n"/>
      <c r="I98" s="50" t="inlineStr">
        <is>
          <t>Claude (QA)</t>
        </is>
      </c>
      <c r="J98" s="50" t="inlineStr">
        <is>
          <t>2026-09-27</t>
        </is>
      </c>
      <c r="K98" s="50" t="n"/>
    </row>
    <row r="99" ht="15" customHeight="1" s="31">
      <c r="A99" s="50" t="inlineStr">
        <is>
          <t>K3</t>
        </is>
      </c>
      <c r="B99" s="50" t="inlineStr">
        <is>
          <t>K. Permissions</t>
        </is>
      </c>
      <c r="C99" s="50" t="inlineStr">
        <is>
          <t>Editor cannot manage members/billing</t>
        </is>
      </c>
      <c r="D99" s="50" t="inlineStr">
        <is>
          <t>Blocked</t>
        </is>
      </c>
      <c r="E99" s="50" t="inlineStr">
        <is>
          <t>P0</t>
        </is>
      </c>
      <c r="F99" s="50" t="inlineStr">
        <is>
          <t>Blocked</t>
        </is>
      </c>
      <c r="G99" s="50" t="n"/>
      <c r="H99" s="50" t="n"/>
      <c r="I99" s="50" t="inlineStr">
        <is>
          <t>Claude (QA)</t>
        </is>
      </c>
      <c r="J99" s="50" t="inlineStr">
        <is>
          <t>2026-09-27</t>
        </is>
      </c>
      <c r="K99" s="50" t="n"/>
    </row>
    <row r="100" ht="15" customHeight="1" s="31">
      <c r="A100" s="50" t="inlineStr">
        <is>
          <t>K4</t>
        </is>
      </c>
      <c r="B100" s="50" t="inlineStr">
        <is>
          <t>K. Permissions</t>
        </is>
      </c>
      <c r="C100" s="50" t="inlineStr">
        <is>
          <t>Client blocked from internal pages</t>
        </is>
      </c>
      <c r="D100" s="50" t="inlineStr">
        <is>
          <t>Blocked</t>
        </is>
      </c>
      <c r="E100" s="50" t="inlineStr">
        <is>
          <t>P0</t>
        </is>
      </c>
      <c r="F100" s="50" t="inlineStr">
        <is>
          <t>Blocked</t>
        </is>
      </c>
      <c r="G100" s="50" t="n"/>
      <c r="H100" s="50" t="n"/>
      <c r="I100" s="50" t="inlineStr">
        <is>
          <t>Claude (QA)</t>
        </is>
      </c>
      <c r="J100" s="50" t="inlineStr">
        <is>
          <t>2026-09-27</t>
        </is>
      </c>
      <c r="K100" s="50" t="n"/>
    </row>
    <row r="101" ht="15" customHeight="1" s="31">
      <c r="A101" s="50" t="inlineStr">
        <is>
          <t>K5</t>
        </is>
      </c>
      <c r="B101" s="50" t="inlineStr">
        <is>
          <t>K. Permissions</t>
        </is>
      </c>
      <c r="C101" s="50" t="inlineStr">
        <is>
          <t>Removed member old tab</t>
        </is>
      </c>
      <c r="D101" s="50" t="inlineStr">
        <is>
          <t>Redirect login</t>
        </is>
      </c>
      <c r="E101" s="50" t="inlineStr">
        <is>
          <t>P0</t>
        </is>
      </c>
      <c r="F101" s="50" t="inlineStr">
        <is>
          <t>Blocked</t>
        </is>
      </c>
      <c r="G101" s="50" t="n"/>
      <c r="H101" s="50" t="n"/>
      <c r="I101" s="50" t="inlineStr">
        <is>
          <t>Claude (QA)</t>
        </is>
      </c>
      <c r="J101" s="50" t="inlineStr">
        <is>
          <t>2026-09-27</t>
        </is>
      </c>
      <c r="K101" s="50" t="n"/>
    </row>
    <row r="102" ht="43.25" customHeight="1" s="31">
      <c r="A102" s="50" t="inlineStr">
        <is>
          <t>L1</t>
        </is>
      </c>
      <c r="B102" s="50" t="inlineStr">
        <is>
          <t>L. Tenant isolation</t>
        </is>
      </c>
      <c r="C102" s="50" t="inlineStr">
        <is>
          <t>Org B opens Org A URLs</t>
        </is>
      </c>
      <c r="D102" s="50" t="inlineStr">
        <is>
          <t>403/404</t>
        </is>
      </c>
      <c r="E102" s="50" t="inlineStr">
        <is>
          <t>P0</t>
        </is>
      </c>
      <c r="F102" s="50" t="inlineStr">
        <is>
          <t>Fail</t>
        </is>
      </c>
      <c r="G102" s="50" t="inlineStr">
        <is>
          <t>All 15 Org A workspace pages returned 403 to an outsider account (good). BUT Org A's media file /media/media_library/2026/09/vasavi-atlantis-meta-9x16.mp4 downloads for the outsider AND for a logged-out browser. Any unpublished client asset is public to anyone who has or guesses the URL.</t>
        </is>
      </c>
      <c r="H102" s="50" t="inlineStr">
        <is>
          <t>BUG-17</t>
        </is>
      </c>
      <c r="I102" s="50" t="inlineStr">
        <is>
          <t>Claude (QA)</t>
        </is>
      </c>
      <c r="J102" s="50" t="inlineStr">
        <is>
          <t>2026-09-27</t>
        </is>
      </c>
      <c r="K102" s="50" t="n"/>
    </row>
    <row r="103" ht="15" customHeight="1" s="31">
      <c r="A103" s="50" t="inlineStr">
        <is>
          <t>L2</t>
        </is>
      </c>
      <c r="B103" s="50" t="inlineStr">
        <is>
          <t>L. Tenant isolation</t>
        </is>
      </c>
      <c r="C103" s="50" t="inlineStr">
        <is>
          <t>Org B writes to Org A by changing IDs</t>
        </is>
      </c>
      <c r="D103" s="50" t="inlineStr">
        <is>
          <t>Refused</t>
        </is>
      </c>
      <c r="E103" s="50" t="inlineStr">
        <is>
          <t>P0</t>
        </is>
      </c>
      <c r="F103" s="50" t="inlineStr">
        <is>
          <t>Pass</t>
        </is>
      </c>
      <c r="G103" s="50" t="inlineStr">
        <is>
          <t>Media upload and compose save into Org A's workspace from Org B returned 403.</t>
        </is>
      </c>
      <c r="H103" s="50" t="n"/>
      <c r="I103" s="50" t="inlineStr">
        <is>
          <t>Claude (QA)</t>
        </is>
      </c>
      <c r="J103" s="50" t="inlineStr">
        <is>
          <t>2026-09-27</t>
        </is>
      </c>
      <c r="K103" s="50" t="n"/>
    </row>
    <row r="104" ht="15" customHeight="1" s="31">
      <c r="A104" s="50" t="inlineStr">
        <is>
          <t>L3</t>
        </is>
      </c>
      <c r="B104" s="50" t="inlineStr">
        <is>
          <t>L. Tenant isolation</t>
        </is>
      </c>
      <c r="C104" s="50" t="inlineStr">
        <is>
          <t>Org A magic link while logged in as Org B</t>
        </is>
      </c>
      <c r="D104" s="50" t="inlineStr">
        <is>
          <t>Scoped</t>
        </is>
      </c>
      <c r="E104" s="50" t="inlineStr">
        <is>
          <t>P0</t>
        </is>
      </c>
      <c r="F104" s="50" t="inlineStr">
        <is>
          <t>Blocked</t>
        </is>
      </c>
      <c r="G104" s="50" t="inlineStr">
        <is>
          <t>No SMTP.</t>
        </is>
      </c>
      <c r="H104" s="50" t="n"/>
      <c r="I104" s="50" t="inlineStr">
        <is>
          <t>Claude (QA)</t>
        </is>
      </c>
      <c r="J104" s="50" t="inlineStr">
        <is>
          <t>2026-09-27</t>
        </is>
      </c>
      <c r="K104" s="50" t="n"/>
    </row>
    <row r="105" ht="15" customHeight="1" s="31">
      <c r="A105" s="50" t="inlineStr">
        <is>
          <t>L4</t>
        </is>
      </c>
      <c r="B105" s="50" t="inlineStr">
        <is>
          <t>L. Tenant isolation</t>
        </is>
      </c>
      <c r="C105" s="50" t="inlineStr">
        <is>
          <t>Org A API key on Org B</t>
        </is>
      </c>
      <c r="D105" s="50" t="inlineStr">
        <is>
          <t>Refused</t>
        </is>
      </c>
      <c r="E105" s="50" t="inlineStr">
        <is>
          <t>P0</t>
        </is>
      </c>
      <c r="F105" s="50" t="inlineStr">
        <is>
          <t>Not run</t>
        </is>
      </c>
      <c r="G105" s="50" t="n"/>
      <c r="H105" s="50" t="n"/>
      <c r="I105" s="50" t="inlineStr">
        <is>
          <t>Claude (QA)</t>
        </is>
      </c>
      <c r="J105" s="50" t="inlineStr">
        <is>
          <t>2026-09-27</t>
        </is>
      </c>
      <c r="K105" s="50" t="n"/>
    </row>
    <row r="106" ht="15" customHeight="1" s="31">
      <c r="A106" s="50" t="inlineStr">
        <is>
          <t>L5</t>
        </is>
      </c>
      <c r="B106" s="50" t="inlineStr">
        <is>
          <t>L. Tenant isolation</t>
        </is>
      </c>
      <c r="C106" s="50" t="inlineStr">
        <is>
          <t>Search/notifications/exports scoped</t>
        </is>
      </c>
      <c r="D106" s="50" t="inlineStr">
        <is>
          <t>Scoped</t>
        </is>
      </c>
      <c r="E106" s="50" t="inlineStr">
        <is>
          <t>P0</t>
        </is>
      </c>
      <c r="F106" s="50" t="inlineStr">
        <is>
          <t>Not run</t>
        </is>
      </c>
      <c r="G106" s="50" t="n"/>
      <c r="H106" s="50" t="n"/>
      <c r="I106" s="50" t="inlineStr">
        <is>
          <t>Claude (QA)</t>
        </is>
      </c>
      <c r="J106" s="50" t="inlineStr">
        <is>
          <t>2026-09-27</t>
        </is>
      </c>
      <c r="K106" s="50" t="n"/>
    </row>
    <row r="107" ht="22.35" customHeight="1" s="31">
      <c r="A107" s="50" t="inlineStr">
        <is>
          <t>M1</t>
        </is>
      </c>
      <c r="B107" s="50" t="inlineStr">
        <is>
          <t>M. Security</t>
        </is>
      </c>
      <c r="C107" s="50" t="inlineStr">
        <is>
          <t>XSS strings everywhere</t>
        </is>
      </c>
      <c r="D107" s="50" t="inlineStr">
        <is>
          <t>Plain text</t>
        </is>
      </c>
      <c r="E107" s="50" t="inlineStr">
        <is>
          <t>P0</t>
        </is>
      </c>
      <c r="F107" s="50" t="inlineStr">
        <is>
          <t>Partial</t>
        </is>
      </c>
      <c r="G107" s="50" t="inlineStr">
        <is>
          <t>Escaped in idea title/body, composer caption and CSV preview table. Emails, portal, workspace/display names not tested.</t>
        </is>
      </c>
      <c r="H107" s="50" t="n"/>
      <c r="I107" s="50" t="inlineStr">
        <is>
          <t>Claude (QA)</t>
        </is>
      </c>
      <c r="J107" s="50" t="inlineStr">
        <is>
          <t>2026-09-27</t>
        </is>
      </c>
      <c r="K107" s="50" t="n"/>
    </row>
    <row r="108" ht="15" customHeight="1" s="31">
      <c r="A108" s="50" t="inlineStr">
        <is>
          <t>M2</t>
        </is>
      </c>
      <c r="B108" s="50" t="inlineStr">
        <is>
          <t>M. Security</t>
        </is>
      </c>
      <c r="C108" s="50" t="inlineStr">
        <is>
          <t>SSRF link preview</t>
        </is>
      </c>
      <c r="D108" s="50" t="inlineStr">
        <is>
          <t>Refused</t>
        </is>
      </c>
      <c r="E108" s="50" t="inlineStr">
        <is>
          <t>P0</t>
        </is>
      </c>
      <c r="F108" s="50" t="inlineStr">
        <is>
          <t>Not run</t>
        </is>
      </c>
      <c r="G108" s="50" t="n"/>
      <c r="H108" s="50" t="n"/>
      <c r="I108" s="50" t="inlineStr">
        <is>
          <t>Claude (QA)</t>
        </is>
      </c>
      <c r="J108" s="50" t="inlineStr">
        <is>
          <t>2026-09-27</t>
        </is>
      </c>
      <c r="K108" s="50" t="n"/>
    </row>
    <row r="109" ht="15" customHeight="1" s="31">
      <c r="A109" s="50" t="inlineStr">
        <is>
          <t>M3</t>
        </is>
      </c>
      <c r="B109" s="50" t="inlineStr">
        <is>
          <t>M. Security</t>
        </is>
      </c>
      <c r="C109" s="50" t="inlineStr">
        <is>
          <t>Webhooks secret + rate limit</t>
        </is>
      </c>
      <c r="D109" s="50" t="inlineStr">
        <is>
          <t>Rejected / 429</t>
        </is>
      </c>
      <c r="E109" s="50" t="inlineStr">
        <is>
          <t>P0</t>
        </is>
      </c>
      <c r="F109" s="50" t="inlineStr">
        <is>
          <t>Not run</t>
        </is>
      </c>
      <c r="G109" s="50" t="inlineStr">
        <is>
          <t>WEBHOOK_SECRET not set (PRE-6).</t>
        </is>
      </c>
      <c r="H109" s="50" t="inlineStr">
        <is>
          <t>BUG-04</t>
        </is>
      </c>
      <c r="I109" s="50" t="inlineStr">
        <is>
          <t>Claude (QA)</t>
        </is>
      </c>
      <c r="J109" s="50" t="inlineStr">
        <is>
          <t>2026-09-27</t>
        </is>
      </c>
      <c r="K109" s="50" t="n"/>
    </row>
    <row r="110" ht="22.35" customHeight="1" s="31">
      <c r="A110" s="50" t="inlineStr">
        <is>
          <t>M4</t>
        </is>
      </c>
      <c r="B110" s="50" t="inlineStr">
        <is>
          <t>M. Security</t>
        </is>
      </c>
      <c r="C110" s="50" t="inlineStr">
        <is>
          <t>No default superuser; admin throttled</t>
        </is>
      </c>
      <c r="D110" s="50" t="inlineStr">
        <is>
          <t>Throttled</t>
        </is>
      </c>
      <c r="E110" s="50" t="inlineStr">
        <is>
          <t>P0</t>
        </is>
      </c>
      <c r="F110" s="50" t="inlineStr">
        <is>
          <t>Fail</t>
        </is>
      </c>
      <c r="G110" s="50" t="inlineStr">
        <is>
          <t>Django admin login is public at /admin/ and the pre-deploy command re-creates a superuser from env vars on every deploy (known hole). Brute force not attempted.</t>
        </is>
      </c>
      <c r="H110" s="50" t="inlineStr">
        <is>
          <t>BUG-07</t>
        </is>
      </c>
      <c r="I110" s="50" t="inlineStr">
        <is>
          <t>Claude (QA)</t>
        </is>
      </c>
      <c r="J110" s="50" t="inlineStr">
        <is>
          <t>2026-09-27</t>
        </is>
      </c>
      <c r="K110" s="50" t="n"/>
    </row>
    <row r="111" ht="22.35" customHeight="1" s="31">
      <c r="A111" s="50" t="inlineStr">
        <is>
          <t>M5</t>
        </is>
      </c>
      <c r="B111" s="50" t="inlineStr">
        <is>
          <t>M. Security</t>
        </is>
      </c>
      <c r="C111" s="50" t="inlineStr">
        <is>
          <t>HTTPS, cookie flags, no stack traces</t>
        </is>
      </c>
      <c r="D111" s="50" t="inlineStr">
        <is>
          <t>Clean</t>
        </is>
      </c>
      <c r="E111" s="50" t="inlineStr">
        <is>
          <t>P0</t>
        </is>
      </c>
      <c r="F111" s="50" t="inlineStr">
        <is>
          <t>Pass</t>
        </is>
      </c>
      <c r="G111" s="50" t="inlineStr">
        <is>
          <t>HSTS, CSP, X-Frame-Options, nosniff, Referrer-Policy, COOP present; session cookie not readable by JS; 500s show a toast, no trace. Permissions-Policy header missing (minor).</t>
        </is>
      </c>
      <c r="H111" s="50" t="n"/>
      <c r="I111" s="50" t="inlineStr">
        <is>
          <t>Claude (QA)</t>
        </is>
      </c>
      <c r="J111" s="50" t="inlineStr">
        <is>
          <t>2026-09-27</t>
        </is>
      </c>
      <c r="K111" s="50" t="n"/>
    </row>
    <row r="112" ht="15" customHeight="1" s="31">
      <c r="A112" s="50" t="inlineStr">
        <is>
          <t>M6</t>
        </is>
      </c>
      <c r="B112" s="50" t="inlineStr">
        <is>
          <t>M. Security</t>
        </is>
      </c>
      <c r="C112" s="50" t="inlineStr">
        <is>
          <t>SVG with script / HTML as .png</t>
        </is>
      </c>
      <c r="D112" s="50" t="inlineStr">
        <is>
          <t>Rejected</t>
        </is>
      </c>
      <c r="E112" s="50" t="inlineStr">
        <is>
          <t>P0</t>
        </is>
      </c>
      <c r="F112" s="50" t="inlineStr">
        <is>
          <t>Pass</t>
        </is>
      </c>
      <c r="G112" s="50" t="inlineStr">
        <is>
          <t>Both rejected server-side (UX issue in BUG-15).</t>
        </is>
      </c>
      <c r="H112" s="50" t="n"/>
      <c r="I112" s="50" t="inlineStr">
        <is>
          <t>Claude (QA)</t>
        </is>
      </c>
      <c r="J112" s="50" t="inlineStr">
        <is>
          <t>2026-09-27</t>
        </is>
      </c>
      <c r="K112" s="50" t="n"/>
    </row>
    <row r="113" ht="15" customHeight="1" s="31">
      <c r="A113" s="50" t="inlineStr">
        <is>
          <t>M7</t>
        </is>
      </c>
      <c r="B113" s="50" t="inlineStr">
        <is>
          <t>M. Security</t>
        </is>
      </c>
      <c r="C113" s="50" t="inlineStr">
        <is>
          <t>CSRF from another site</t>
        </is>
      </c>
      <c r="D113" s="50" t="inlineStr">
        <is>
          <t>Rejected</t>
        </is>
      </c>
      <c r="E113" s="50" t="inlineStr">
        <is>
          <t>P0</t>
        </is>
      </c>
      <c r="F113" s="50" t="inlineStr">
        <is>
          <t>Not run</t>
        </is>
      </c>
      <c r="G113" s="50" t="n"/>
      <c r="H113" s="50" t="n"/>
      <c r="I113" s="50" t="inlineStr">
        <is>
          <t>Claude (QA)</t>
        </is>
      </c>
      <c r="J113" s="50" t="inlineStr">
        <is>
          <t>2026-09-27</t>
        </is>
      </c>
      <c r="K113" s="50" t="n"/>
    </row>
    <row r="114" ht="15" customHeight="1" s="31">
      <c r="A114" s="50" t="inlineStr">
        <is>
          <t>N1</t>
        </is>
      </c>
      <c r="B114" s="50" t="inlineStr">
        <is>
          <t>N. Publisher</t>
        </is>
      </c>
      <c r="C114" s="50" t="inlineStr">
        <is>
          <t>20 posts over 2 h, &gt;=99% on time</t>
        </is>
      </c>
      <c r="D114" s="50" t="inlineStr">
        <is>
          <t>99%</t>
        </is>
      </c>
      <c r="E114" s="50" t="inlineStr">
        <is>
          <t>P0</t>
        </is>
      </c>
      <c r="F114" s="50" t="inlineStr">
        <is>
          <t>Blocked</t>
        </is>
      </c>
      <c r="G114" s="50" t="inlineStr">
        <is>
          <t>No accounts; worker command wrong.</t>
        </is>
      </c>
      <c r="H114" s="50" t="inlineStr">
        <is>
          <t>BUG-06</t>
        </is>
      </c>
      <c r="I114" s="50" t="inlineStr">
        <is>
          <t>Claude (QA)</t>
        </is>
      </c>
      <c r="J114" s="50" t="inlineStr">
        <is>
          <t>2026-09-27</t>
        </is>
      </c>
      <c r="K114" s="50" t="n"/>
    </row>
    <row r="115" ht="15" customHeight="1" s="31">
      <c r="A115" s="50" t="inlineStr">
        <is>
          <t>N2</t>
        </is>
      </c>
      <c r="B115" s="50" t="inlineStr">
        <is>
          <t>N. Publisher</t>
        </is>
      </c>
      <c r="C115" s="50" t="inlineStr">
        <is>
          <t>5 posts same minute</t>
        </is>
      </c>
      <c r="D115" s="50" t="inlineStr">
        <is>
          <t>All once</t>
        </is>
      </c>
      <c r="E115" s="50" t="inlineStr">
        <is>
          <t>P0</t>
        </is>
      </c>
      <c r="F115" s="50" t="inlineStr">
        <is>
          <t>Blocked</t>
        </is>
      </c>
      <c r="G115" s="50" t="n"/>
      <c r="H115" s="50" t="n"/>
      <c r="I115" s="50" t="inlineStr">
        <is>
          <t>Claude (QA)</t>
        </is>
      </c>
      <c r="J115" s="50" t="inlineStr">
        <is>
          <t>2026-09-27</t>
        </is>
      </c>
      <c r="K115" s="50" t="n"/>
    </row>
    <row r="116" ht="15" customHeight="1" s="31">
      <c r="A116" s="50" t="inlineStr">
        <is>
          <t>N3</t>
        </is>
      </c>
      <c r="B116" s="50" t="inlineStr">
        <is>
          <t>N. Publisher</t>
        </is>
      </c>
      <c r="C116" s="50" t="inlineStr">
        <is>
          <t>Worker restart</t>
        </is>
      </c>
      <c r="D116" s="50" t="inlineStr">
        <is>
          <t>Exactly once</t>
        </is>
      </c>
      <c r="E116" s="50" t="inlineStr">
        <is>
          <t>P0</t>
        </is>
      </c>
      <c r="F116" s="50" t="inlineStr">
        <is>
          <t>Blocked</t>
        </is>
      </c>
      <c r="G116" s="50" t="n"/>
      <c r="H116" s="50" t="n"/>
      <c r="I116" s="50" t="inlineStr">
        <is>
          <t>Claude (QA)</t>
        </is>
      </c>
      <c r="J116" s="50" t="inlineStr">
        <is>
          <t>2026-09-27</t>
        </is>
      </c>
      <c r="K116" s="50" t="n"/>
    </row>
    <row r="117" ht="15" customHeight="1" s="31">
      <c r="A117" s="50" t="inlineStr">
        <is>
          <t>N4</t>
        </is>
      </c>
      <c r="B117" s="50" t="inlineStr">
        <is>
          <t>N. Publisher</t>
        </is>
      </c>
      <c r="C117" s="50" t="inlineStr">
        <is>
          <t>Worker down 15 min</t>
        </is>
      </c>
      <c r="D117" s="50" t="inlineStr">
        <is>
          <t>Publish or marked missed</t>
        </is>
      </c>
      <c r="E117" s="50" t="inlineStr">
        <is>
          <t>P1</t>
        </is>
      </c>
      <c r="F117" s="50" t="inlineStr">
        <is>
          <t>Blocked</t>
        </is>
      </c>
      <c r="G117" s="50" t="n"/>
      <c r="H117" s="50" t="n"/>
      <c r="I117" s="50" t="inlineStr">
        <is>
          <t>Claude (QA)</t>
        </is>
      </c>
      <c r="J117" s="50" t="inlineStr">
        <is>
          <t>2026-09-27</t>
        </is>
      </c>
      <c r="K117" s="50" t="n"/>
    </row>
    <row r="118" ht="15" customHeight="1" s="31">
      <c r="A118" s="50" t="inlineStr">
        <is>
          <t>N5</t>
        </is>
      </c>
      <c r="B118" s="50" t="inlineStr">
        <is>
          <t>N. Publisher</t>
        </is>
      </c>
      <c r="C118" s="50" t="inlineStr">
        <is>
          <t>Temporary error retries</t>
        </is>
      </c>
      <c r="D118" s="50" t="inlineStr">
        <is>
          <t>Backoff</t>
        </is>
      </c>
      <c r="E118" s="50" t="inlineStr">
        <is>
          <t>P1</t>
        </is>
      </c>
      <c r="F118" s="50" t="inlineStr">
        <is>
          <t>Blocked</t>
        </is>
      </c>
      <c r="G118" s="50" t="n"/>
      <c r="H118" s="50" t="n"/>
      <c r="I118" s="50" t="inlineStr">
        <is>
          <t>Claude (QA)</t>
        </is>
      </c>
      <c r="J118" s="50" t="inlineStr">
        <is>
          <t>2026-09-27</t>
        </is>
      </c>
      <c r="K118" s="50" t="n"/>
    </row>
    <row r="119" ht="15" customHeight="1" s="31">
      <c r="A119" s="50" t="inlineStr">
        <is>
          <t>N6</t>
        </is>
      </c>
      <c r="B119" s="50" t="inlineStr">
        <is>
          <t>N. Publisher</t>
        </is>
      </c>
      <c r="C119" s="50" t="inlineStr">
        <is>
          <t>Permanent error</t>
        </is>
      </c>
      <c r="D119" s="50" t="inlineStr">
        <is>
          <t>Fails once</t>
        </is>
      </c>
      <c r="E119" s="50" t="inlineStr">
        <is>
          <t>P0</t>
        </is>
      </c>
      <c r="F119" s="50" t="inlineStr">
        <is>
          <t>Blocked</t>
        </is>
      </c>
      <c r="G119" s="50" t="n"/>
      <c r="H119" s="50" t="n"/>
      <c r="I119" s="50" t="inlineStr">
        <is>
          <t>Claude (QA)</t>
        </is>
      </c>
      <c r="J119" s="50" t="inlineStr">
        <is>
          <t>2026-09-27</t>
        </is>
      </c>
      <c r="K119" s="50" t="n"/>
    </row>
    <row r="120" ht="15" customHeight="1" s="31">
      <c r="A120" s="50" t="inlineStr">
        <is>
          <t>N7</t>
        </is>
      </c>
      <c r="B120" s="50" t="inlineStr">
        <is>
          <t>N. Publisher</t>
        </is>
      </c>
      <c r="C120" s="50" t="inlineStr">
        <is>
          <t>One platform fails</t>
        </is>
      </c>
      <c r="D120" s="50" t="inlineStr">
        <is>
          <t>Others publish</t>
        </is>
      </c>
      <c r="E120" s="50" t="inlineStr">
        <is>
          <t>P1</t>
        </is>
      </c>
      <c r="F120" s="50" t="inlineStr">
        <is>
          <t>Blocked</t>
        </is>
      </c>
      <c r="G120" s="50" t="n"/>
      <c r="H120" s="50" t="n"/>
      <c r="I120" s="50" t="inlineStr">
        <is>
          <t>Claude (QA)</t>
        </is>
      </c>
      <c r="J120" s="50" t="inlineStr">
        <is>
          <t>2026-09-27</t>
        </is>
      </c>
      <c r="K120" s="50" t="n"/>
    </row>
    <row r="121" ht="15" customHeight="1" s="31">
      <c r="A121" s="50" t="inlineStr">
        <is>
          <t>N8</t>
        </is>
      </c>
      <c r="B121" s="50" t="inlineStr">
        <is>
          <t>N. Publisher</t>
        </is>
      </c>
      <c r="C121" s="50" t="inlineStr">
        <is>
          <t>First comment</t>
        </is>
      </c>
      <c r="D121" s="50" t="inlineStr">
        <is>
          <t>Posted</t>
        </is>
      </c>
      <c r="E121" s="50" t="inlineStr">
        <is>
          <t>P2</t>
        </is>
      </c>
      <c r="F121" s="50" t="inlineStr">
        <is>
          <t>Blocked</t>
        </is>
      </c>
      <c r="G121" s="50" t="n"/>
      <c r="H121" s="50" t="n"/>
      <c r="I121" s="50" t="inlineStr">
        <is>
          <t>Claude (QA)</t>
        </is>
      </c>
      <c r="J121" s="50" t="inlineStr">
        <is>
          <t>2026-09-27</t>
        </is>
      </c>
      <c r="K121" s="50" t="n"/>
    </row>
    <row r="122" ht="15" customHeight="1" s="31">
      <c r="A122" s="50" t="inlineStr">
        <is>
          <t>O1</t>
        </is>
      </c>
      <c r="B122" s="50" t="inlineStr">
        <is>
          <t>O. Ops</t>
        </is>
      </c>
      <c r="C122" s="50" t="inlineStr">
        <is>
          <t>Deploy while users work</t>
        </is>
      </c>
      <c r="D122" s="50" t="inlineStr">
        <is>
          <t>No loss</t>
        </is>
      </c>
      <c r="E122" s="50" t="inlineStr">
        <is>
          <t>P1</t>
        </is>
      </c>
      <c r="F122" s="50" t="inlineStr">
        <is>
          <t>Not run</t>
        </is>
      </c>
      <c r="G122" s="50" t="n"/>
      <c r="H122" s="50" t="n"/>
      <c r="I122" s="50" t="inlineStr">
        <is>
          <t>Claude (QA)</t>
        </is>
      </c>
      <c r="J122" s="50" t="inlineStr">
        <is>
          <t>2026-09-27</t>
        </is>
      </c>
      <c r="K122" s="50" t="n"/>
    </row>
    <row r="123" ht="15" customHeight="1" s="31">
      <c r="A123" s="50" t="inlineStr">
        <is>
          <t>O2</t>
        </is>
      </c>
      <c r="B123" s="50" t="inlineStr">
        <is>
          <t>O. Ops</t>
        </is>
      </c>
      <c r="C123" s="50" t="inlineStr">
        <is>
          <t>Restore DB backup</t>
        </is>
      </c>
      <c r="D123" s="50" t="inlineStr">
        <is>
          <t>Row counts match</t>
        </is>
      </c>
      <c r="E123" s="50" t="inlineStr">
        <is>
          <t>P0</t>
        </is>
      </c>
      <c r="F123" s="50" t="inlineStr">
        <is>
          <t>Not run</t>
        </is>
      </c>
      <c r="G123" s="50" t="inlineStr">
        <is>
          <t>No evidence of a backup.</t>
        </is>
      </c>
      <c r="H123" s="50" t="n"/>
      <c r="I123" s="50" t="inlineStr">
        <is>
          <t>Claude (QA)</t>
        </is>
      </c>
      <c r="J123" s="50" t="inlineStr">
        <is>
          <t>2026-09-27</t>
        </is>
      </c>
      <c r="K123" s="50" t="n"/>
    </row>
    <row r="124" ht="15" customHeight="1" s="31">
      <c r="A124" s="50" t="inlineStr">
        <is>
          <t>O3</t>
        </is>
      </c>
      <c r="B124" s="50" t="inlineStr">
        <is>
          <t>O. Ops</t>
        </is>
      </c>
      <c r="C124" s="50" t="inlineStr">
        <is>
          <t>Media after 2 redeploys</t>
        </is>
      </c>
      <c r="D124" s="50" t="inlineStr">
        <is>
          <t>Loads</t>
        </is>
      </c>
      <c r="E124" s="50" t="inlineStr">
        <is>
          <t>P0</t>
        </is>
      </c>
      <c r="F124" s="50" t="inlineStr">
        <is>
          <t>Fail</t>
        </is>
      </c>
      <c r="G124" s="50" t="inlineStr">
        <is>
          <t>Local disk, no volume: guaranteed loss on redeploy (by configuration).</t>
        </is>
      </c>
      <c r="H124" s="50" t="inlineStr">
        <is>
          <t>BUG-03</t>
        </is>
      </c>
      <c r="I124" s="50" t="inlineStr">
        <is>
          <t>Claude (QA)</t>
        </is>
      </c>
      <c r="J124" s="50" t="inlineStr">
        <is>
          <t>2026-09-27</t>
        </is>
      </c>
      <c r="K124" s="50" t="n"/>
    </row>
    <row r="125" ht="15" customHeight="1" s="31">
      <c r="A125" s="50" t="inlineStr">
        <is>
          <t>O4</t>
        </is>
      </c>
      <c r="B125" s="50" t="inlineStr">
        <is>
          <t>O. Ops</t>
        </is>
      </c>
      <c r="C125" s="50" t="inlineStr">
        <is>
          <t>/health/ with DB down</t>
        </is>
      </c>
      <c r="D125" s="50" t="inlineStr">
        <is>
          <t>Non-200</t>
        </is>
      </c>
      <c r="E125" s="50" t="inlineStr">
        <is>
          <t>P2</t>
        </is>
      </c>
      <c r="F125" s="50" t="inlineStr">
        <is>
          <t>Not run</t>
        </is>
      </c>
      <c r="G125" s="50" t="n"/>
      <c r="H125" s="50" t="n"/>
      <c r="I125" s="50" t="inlineStr">
        <is>
          <t>Claude (QA)</t>
        </is>
      </c>
      <c r="J125" s="50" t="inlineStr">
        <is>
          <t>2026-09-27</t>
        </is>
      </c>
      <c r="K125" s="50" t="n"/>
    </row>
    <row r="126" ht="22.35" customHeight="1" s="31">
      <c r="A126" s="50" t="inlineStr">
        <is>
          <t>O5</t>
        </is>
      </c>
      <c r="B126" s="50" t="inlineStr">
        <is>
          <t>O. Ops</t>
        </is>
      </c>
      <c r="C126" s="50" t="inlineStr">
        <is>
          <t>Sentry from web + worker</t>
        </is>
      </c>
      <c r="D126" s="50" t="inlineStr">
        <is>
          <t>Both</t>
        </is>
      </c>
      <c r="E126" s="50" t="inlineStr">
        <is>
          <t>P1</t>
        </is>
      </c>
      <c r="F126" s="50" t="inlineStr">
        <is>
          <t>Fail</t>
        </is>
      </c>
      <c r="G126" s="50" t="inlineStr">
        <is>
          <t>Not configured. Also every Railway log line (even 404 warnings) is tagged severity 'error', which buries real errors.</t>
        </is>
      </c>
      <c r="H126" s="50" t="inlineStr">
        <is>
          <t>BUG-04</t>
        </is>
      </c>
      <c r="I126" s="50" t="inlineStr">
        <is>
          <t>Claude (QA)</t>
        </is>
      </c>
      <c r="J126" s="50" t="inlineStr">
        <is>
          <t>2026-09-27</t>
        </is>
      </c>
      <c r="K126" s="50" t="n"/>
    </row>
    <row r="127" ht="15" customHeight="1" s="31">
      <c r="A127" s="50" t="inlineStr">
        <is>
          <t>O6</t>
        </is>
      </c>
      <c r="B127" s="50" t="inlineStr">
        <is>
          <t>O. Ops</t>
        </is>
      </c>
      <c r="C127" s="50" t="inlineStr">
        <is>
          <t>All transactional emails</t>
        </is>
      </c>
      <c r="D127" s="50" t="inlineStr">
        <is>
          <t>Arrive, branded</t>
        </is>
      </c>
      <c r="E127" s="50" t="inlineStr">
        <is>
          <t>P1</t>
        </is>
      </c>
      <c r="F127" s="50" t="inlineStr">
        <is>
          <t>Blocked</t>
        </is>
      </c>
      <c r="G127" s="50" t="inlineStr">
        <is>
          <t>No SMTP.</t>
        </is>
      </c>
      <c r="H127" s="50" t="inlineStr">
        <is>
          <t>BUG-02</t>
        </is>
      </c>
      <c r="I127" s="50" t="inlineStr">
        <is>
          <t>Claude (QA)</t>
        </is>
      </c>
      <c r="J127" s="50" t="inlineStr">
        <is>
          <t>2026-09-27</t>
        </is>
      </c>
      <c r="K127" s="50" t="n"/>
    </row>
    <row r="128" ht="15" customHeight="1" s="31">
      <c r="A128" s="50" t="inlineStr">
        <is>
          <t>P1</t>
        </is>
      </c>
      <c r="B128" s="50" t="inlineStr">
        <is>
          <t>P. Accessibility</t>
        </is>
      </c>
      <c r="C128" s="50" t="inlineStr">
        <is>
          <t>Keyboard-only core flow</t>
        </is>
      </c>
      <c r="D128" s="50" t="inlineStr">
        <is>
          <t>Visible focus</t>
        </is>
      </c>
      <c r="E128" s="50" t="inlineStr">
        <is>
          <t>P1</t>
        </is>
      </c>
      <c r="F128" s="50" t="inlineStr">
        <is>
          <t>Partial</t>
        </is>
      </c>
      <c r="G128" s="50" t="inlineStr">
        <is>
          <t>Login: all controls reachable, focus visible. App flow not completed (no accounts).</t>
        </is>
      </c>
      <c r="H128" s="50" t="n"/>
      <c r="I128" s="50" t="inlineStr">
        <is>
          <t>Claude (QA)</t>
        </is>
      </c>
      <c r="J128" s="50" t="inlineStr">
        <is>
          <t>2026-09-27</t>
        </is>
      </c>
      <c r="K128" s="50" t="n"/>
    </row>
    <row r="129" ht="22.35" customHeight="1" s="31">
      <c r="A129" s="50" t="inlineStr">
        <is>
          <t>P2</t>
        </is>
      </c>
      <c r="B129" s="50" t="inlineStr">
        <is>
          <t>P. Accessibility</t>
        </is>
      </c>
      <c r="C129" s="50" t="inlineStr">
        <is>
          <t>Modal focus trap + Esc</t>
        </is>
      </c>
      <c r="D129" s="50" t="inlineStr">
        <is>
          <t>Trapped, returns</t>
        </is>
      </c>
      <c r="E129" s="50" t="inlineStr">
        <is>
          <t>P1</t>
        </is>
      </c>
      <c r="F129" s="50" t="inlineStr">
        <is>
          <t>Fail</t>
        </is>
      </c>
      <c r="G129" s="50" t="inlineStr">
        <is>
          <t>Create Idea modal: focus stays on the trigger, Tab moves to the page behind, no role='dialog'/aria-modal. Esc does close it.</t>
        </is>
      </c>
      <c r="H129" s="50" t="inlineStr">
        <is>
          <t>BUG-18</t>
        </is>
      </c>
      <c r="I129" s="50" t="inlineStr">
        <is>
          <t>Claude (QA)</t>
        </is>
      </c>
      <c r="J129" s="50" t="inlineStr">
        <is>
          <t>2026-09-27</t>
        </is>
      </c>
      <c r="K129" s="50" t="n"/>
    </row>
    <row r="130" ht="15" customHeight="1" s="31">
      <c r="A130" s="50" t="inlineStr">
        <is>
          <t>P3</t>
        </is>
      </c>
      <c r="B130" s="50" t="inlineStr">
        <is>
          <t>P. Accessibility</t>
        </is>
      </c>
      <c r="C130" s="50" t="inlineStr">
        <is>
          <t>Screen reader</t>
        </is>
      </c>
      <c r="D130" s="50" t="inlineStr">
        <is>
          <t>Announced</t>
        </is>
      </c>
      <c r="E130" s="50" t="inlineStr">
        <is>
          <t>P2</t>
        </is>
      </c>
      <c r="F130" s="50" t="inlineStr">
        <is>
          <t>Not run</t>
        </is>
      </c>
      <c r="G130" s="50" t="n"/>
      <c r="H130" s="50" t="n"/>
      <c r="I130" s="50" t="inlineStr">
        <is>
          <t>Claude (QA)</t>
        </is>
      </c>
      <c r="J130" s="50" t="inlineStr">
        <is>
          <t>2026-09-27</t>
        </is>
      </c>
      <c r="K130" s="50" t="n"/>
    </row>
    <row r="131" ht="22.35" customHeight="1" s="31">
      <c r="A131" s="50" t="inlineStr">
        <is>
          <t>P4</t>
        </is>
      </c>
      <c r="B131" s="50" t="inlineStr">
        <is>
          <t>P. Accessibility</t>
        </is>
      </c>
      <c r="C131" s="50" t="inlineStr">
        <is>
          <t>Contrast on primary buttons/body</t>
        </is>
      </c>
      <c r="D131" s="50" t="inlineStr">
        <is>
          <t>No failures</t>
        </is>
      </c>
      <c r="E131" s="50" t="inlineStr">
        <is>
          <t>P2</t>
        </is>
      </c>
      <c r="F131" s="50" t="inlineStr">
        <is>
          <t>Fail</t>
        </is>
      </c>
      <c r="G131" s="50" t="inlineStr">
        <is>
          <t>White on olive 'Sign In' button 2.7:1; white on orange #F97316 buttons 2.8:1; orange links 2.7-2.8:1; 'SM BEAN · STUDIO' eyebrow 2.7:1; 'OR' divider 2.5:1. WCAG AA needs 4.5:1.</t>
        </is>
      </c>
      <c r="H131" s="50" t="inlineStr">
        <is>
          <t>BUG-19</t>
        </is>
      </c>
      <c r="I131" s="50" t="inlineStr">
        <is>
          <t>Claude (QA)</t>
        </is>
      </c>
      <c r="J131" s="50" t="inlineStr">
        <is>
          <t>2026-09-27</t>
        </is>
      </c>
      <c r="K131" s="50" t="n"/>
    </row>
    <row r="132" ht="15" customHeight="1" s="31">
      <c r="A132" s="50" t="inlineStr">
        <is>
          <t>P5</t>
        </is>
      </c>
      <c r="B132" s="50" t="inlineStr">
        <is>
          <t>P. Accessibility</t>
        </is>
      </c>
      <c r="C132" s="50" t="inlineStr">
        <is>
          <t>Zoom 200%</t>
        </is>
      </c>
      <c r="D132" s="50" t="inlineStr">
        <is>
          <t>No overlap</t>
        </is>
      </c>
      <c r="E132" s="50" t="inlineStr">
        <is>
          <t>P2</t>
        </is>
      </c>
      <c r="F132" s="50" t="inlineStr">
        <is>
          <t>Not run</t>
        </is>
      </c>
      <c r="G132" s="50" t="n"/>
      <c r="H132" s="50" t="n"/>
      <c r="I132" s="50" t="inlineStr">
        <is>
          <t>Claude (QA)</t>
        </is>
      </c>
      <c r="J132" s="50" t="inlineStr">
        <is>
          <t>2026-09-27</t>
        </is>
      </c>
      <c r="K132" s="50" t="n"/>
    </row>
    <row r="133" ht="15" customHeight="1" s="31">
      <c r="A133" s="50" t="inlineStr">
        <is>
          <t>Q1</t>
        </is>
      </c>
      <c r="B133" s="50" t="inlineStr">
        <is>
          <t>Q. Mobile</t>
        </is>
      </c>
      <c r="C133" s="50" t="inlineStr">
        <is>
          <t>Smoke on iPhone/Android</t>
        </is>
      </c>
      <c r="D133" s="50" t="inlineStr">
        <is>
          <t>Works</t>
        </is>
      </c>
      <c r="E133" s="50" t="inlineStr">
        <is>
          <t>P1</t>
        </is>
      </c>
      <c r="F133" s="50" t="inlineStr">
        <is>
          <t>Partial</t>
        </is>
      </c>
      <c r="G133" s="50" t="inlineStr">
        <is>
          <t>Login and portal-expired pages fit at 375 px. App shell not tested on mobile.</t>
        </is>
      </c>
      <c r="H133" s="50" t="n"/>
      <c r="I133" s="50" t="inlineStr">
        <is>
          <t>Claude (QA)</t>
        </is>
      </c>
      <c r="J133" s="50" t="inlineStr">
        <is>
          <t>2026-09-27</t>
        </is>
      </c>
      <c r="K133" s="50" t="n"/>
    </row>
    <row r="134" ht="15" customHeight="1" s="31">
      <c r="A134" s="50" t="inlineStr">
        <is>
          <t>Q2</t>
        </is>
      </c>
      <c r="B134" s="50" t="inlineStr">
        <is>
          <t>Q. Mobile</t>
        </is>
      </c>
      <c r="C134" s="50" t="inlineStr">
        <is>
          <t>Calendar on phone</t>
        </is>
      </c>
      <c r="D134" s="50" t="inlineStr">
        <is>
          <t>Usable</t>
        </is>
      </c>
      <c r="E134" s="50" t="inlineStr">
        <is>
          <t>P1</t>
        </is>
      </c>
      <c r="F134" s="50" t="inlineStr">
        <is>
          <t>Not run</t>
        </is>
      </c>
      <c r="G134" s="50" t="n"/>
      <c r="H134" s="50" t="n"/>
      <c r="I134" s="50" t="inlineStr">
        <is>
          <t>Claude (QA)</t>
        </is>
      </c>
      <c r="J134" s="50" t="inlineStr">
        <is>
          <t>2026-09-27</t>
        </is>
      </c>
      <c r="K134" s="50" t="n"/>
    </row>
    <row r="135" ht="15" customHeight="1" s="31">
      <c r="A135" s="50" t="inlineStr">
        <is>
          <t>Q3</t>
        </is>
      </c>
      <c r="B135" s="50" t="inlineStr">
        <is>
          <t>Q. Mobile</t>
        </is>
      </c>
      <c r="C135" s="50" t="inlineStr">
        <is>
          <t>Upload from camera roll</t>
        </is>
      </c>
      <c r="D135" s="50" t="inlineStr">
        <is>
          <t>Works</t>
        </is>
      </c>
      <c r="E135" s="50" t="inlineStr">
        <is>
          <t>P1</t>
        </is>
      </c>
      <c r="F135" s="50" t="inlineStr">
        <is>
          <t>Not run</t>
        </is>
      </c>
      <c r="G135" s="50" t="n"/>
      <c r="H135" s="50" t="n"/>
      <c r="I135" s="50" t="inlineStr">
        <is>
          <t>Claude (QA)</t>
        </is>
      </c>
      <c r="J135" s="50" t="inlineStr">
        <is>
          <t>2026-09-27</t>
        </is>
      </c>
      <c r="K135" s="50" t="n"/>
    </row>
    <row r="136" ht="15" customHeight="1" s="31">
      <c r="A136" s="50" t="inlineStr">
        <is>
          <t>Q4</t>
        </is>
      </c>
      <c r="B136" s="50" t="inlineStr">
        <is>
          <t>Q. Mobile</t>
        </is>
      </c>
      <c r="C136" s="50" t="inlineStr">
        <is>
          <t>Chrome/Safari/Firefox/Edge</t>
        </is>
      </c>
      <c r="D136" s="50" t="inlineStr">
        <is>
          <t>Same</t>
        </is>
      </c>
      <c r="E136" s="50" t="inlineStr">
        <is>
          <t>P1</t>
        </is>
      </c>
      <c r="F136" s="50" t="inlineStr">
        <is>
          <t>Not run</t>
        </is>
      </c>
      <c r="G136" s="50" t="inlineStr">
        <is>
          <t>Chrome only this round.</t>
        </is>
      </c>
      <c r="H136" s="50" t="n"/>
      <c r="I136" s="50" t="inlineStr">
        <is>
          <t>Claude (QA)</t>
        </is>
      </c>
      <c r="J136" s="50" t="inlineStr">
        <is>
          <t>2026-09-27</t>
        </is>
      </c>
      <c r="K136" s="50" t="n"/>
    </row>
    <row r="137" ht="22.35" customHeight="1" s="31">
      <c r="A137" s="50" t="inlineStr">
        <is>
          <t>R1</t>
        </is>
      </c>
      <c r="B137" s="50" t="inlineStr">
        <is>
          <t>R. Public pages</t>
        </is>
      </c>
      <c r="C137" s="50" t="inlineStr">
        <is>
          <t>Landing/pricing claims true</t>
        </is>
      </c>
      <c r="D137" s="50" t="inlineStr">
        <is>
          <t>True</t>
        </is>
      </c>
      <c r="E137" s="50" t="inlineStr">
        <is>
          <t>P1</t>
        </is>
      </c>
      <c r="F137" s="50" t="inlineStr">
        <is>
          <t>Fail</t>
        </is>
      </c>
      <c r="G137" s="50" t="inlineStr">
        <is>
          <t>/pricing/ 404. Signup subtitle promises 'approvals across 10+ platforms' — only Bluesky, Mastodon and DEV.to are usable by beta users today.</t>
        </is>
      </c>
      <c r="H137" s="50" t="inlineStr">
        <is>
          <t>BUG-22</t>
        </is>
      </c>
      <c r="I137" s="50" t="inlineStr">
        <is>
          <t>Claude (QA)</t>
        </is>
      </c>
      <c r="J137" s="50" t="inlineStr">
        <is>
          <t>2026-09-27</t>
        </is>
      </c>
      <c r="K137" s="50" t="n"/>
    </row>
    <row r="138" ht="22.35" customHeight="1" s="31">
      <c r="A138" s="50" t="inlineStr">
        <is>
          <t>R2</t>
        </is>
      </c>
      <c r="B138" s="50" t="inlineStr">
        <is>
          <t>R. Public pages</t>
        </is>
      </c>
      <c r="C138" s="50" t="inlineStr">
        <is>
          <t>Terms/Privacy/Support links</t>
        </is>
      </c>
      <c r="D138" s="50" t="inlineStr">
        <is>
          <t>Real pages</t>
        </is>
      </c>
      <c r="E138" s="50" t="inlineStr">
        <is>
          <t>P0</t>
        </is>
      </c>
      <c r="F138" s="50" t="inlineStr">
        <is>
          <t>Fail</t>
        </is>
      </c>
      <c r="G138" s="50" t="inlineStr">
        <is>
          <t>/terms/ /privacy/ /support/ 404. Signup 'Terms of Service' and 'Privacy Policy' link to brightbean.xyz — another product's legal pages.</t>
        </is>
      </c>
      <c r="H138" s="50" t="inlineStr">
        <is>
          <t>BUG-08</t>
        </is>
      </c>
      <c r="I138" s="50" t="inlineStr">
        <is>
          <t>Claude (QA)</t>
        </is>
      </c>
      <c r="J138" s="50" t="inlineStr">
        <is>
          <t>2026-09-27</t>
        </is>
      </c>
      <c r="K138" s="50" t="n"/>
    </row>
    <row r="139" ht="22.35" customHeight="1" s="31">
      <c r="A139" s="50" t="inlineStr">
        <is>
          <t>R3</t>
        </is>
      </c>
      <c r="B139" s="50" t="inlineStr">
        <is>
          <t>R. Public pages</t>
        </is>
      </c>
      <c r="C139" s="50" t="inlineStr">
        <is>
          <t>Brand sweep, no BrightBean</t>
        </is>
      </c>
      <c r="D139" s="50" t="inlineStr">
        <is>
          <t>SM Bean only</t>
        </is>
      </c>
      <c r="E139" s="50" t="inlineStr">
        <is>
          <t>P2</t>
        </is>
      </c>
      <c r="F139" s="50" t="inlineStr">
        <is>
          <t>Fail</t>
        </is>
      </c>
      <c r="G139" s="50" t="inlineStr">
        <is>
          <t>Login/signup logo is 'brightbean-studio-logo.webp' (mascot badge reads 'STUDIO'); eyebrow 'SM BEAN · STUDIO'; legal links to brightbean.xyz.</t>
        </is>
      </c>
      <c r="H139" s="50" t="inlineStr">
        <is>
          <t>BUG-23</t>
        </is>
      </c>
      <c r="I139" s="50" t="inlineStr">
        <is>
          <t>Claude (QA)</t>
        </is>
      </c>
      <c r="J139" s="50" t="inlineStr">
        <is>
          <t>2026-09-27</t>
        </is>
      </c>
      <c r="K139" s="50" t="n"/>
    </row>
    <row r="140" ht="15" customHeight="1" s="31">
      <c r="A140" s="50" t="inlineStr">
        <is>
          <t>R4</t>
        </is>
      </c>
      <c r="B140" s="50" t="inlineStr">
        <is>
          <t>R. Public pages</t>
        </is>
      </c>
      <c r="C140" s="50" t="inlineStr">
        <is>
          <t>Branded 404/403</t>
        </is>
      </c>
      <c r="D140" s="50" t="inlineStr">
        <is>
          <t>Branded</t>
        </is>
      </c>
      <c r="E140" s="50" t="inlineStr">
        <is>
          <t>P2</t>
        </is>
      </c>
      <c r="F140" s="50" t="inlineStr">
        <is>
          <t>Fail</t>
        </is>
      </c>
      <c r="G140" s="50" t="inlineStr">
        <is>
          <t>404 is a raw serif 'Not Found' page; 403 is a 135-byte plain response. No way back home.</t>
        </is>
      </c>
      <c r="H140" s="50" t="inlineStr">
        <is>
          <t>BUG-24</t>
        </is>
      </c>
      <c r="I140" s="50" t="inlineStr">
        <is>
          <t>Claude (QA)</t>
        </is>
      </c>
      <c r="J140" s="50" t="inlineStr">
        <is>
          <t>2026-09-27</t>
        </is>
      </c>
      <c r="K140" s="50" t="n"/>
    </row>
    <row r="141" ht="22.35" customHeight="1" s="31">
      <c r="A141" s="50" t="inlineStr">
        <is>
          <t>R5</t>
        </is>
      </c>
      <c r="B141" s="50" t="inlineStr">
        <is>
          <t>R. Public pages</t>
        </is>
      </c>
      <c r="C141" s="50" t="inlineStr">
        <is>
          <t>robots.txt, titles</t>
        </is>
      </c>
      <c r="D141" s="50" t="inlineStr">
        <is>
          <t>Present</t>
        </is>
      </c>
      <c r="E141" s="50" t="inlineStr">
        <is>
          <t>P2</t>
        </is>
      </c>
      <c r="F141" s="50" t="inlineStr">
        <is>
          <t>Fail</t>
        </is>
      </c>
      <c r="G141" s="50" t="inlineStr">
        <is>
          <t>robots.txt 404; no meta robots; several pages titled just 'SM Bean' (Workspaces, Notifications, Social accounts, Ideas, Publish queue).</t>
        </is>
      </c>
      <c r="H141" s="50" t="inlineStr">
        <is>
          <t>BUG-25</t>
        </is>
      </c>
      <c r="I141" s="50" t="inlineStr">
        <is>
          <t>Claude (QA)</t>
        </is>
      </c>
      <c r="J141" s="50" t="inlineStr">
        <is>
          <t>2026-09-27</t>
        </is>
      </c>
      <c r="K141" s="50" t="n"/>
    </row>
    <row r="142" ht="15" customHeight="1" s="31">
      <c r="A142" s="50" t="inlineStr">
        <is>
          <t>S1</t>
        </is>
      </c>
      <c r="B142" s="50" t="inlineStr">
        <is>
          <t>S. Performance</t>
        </is>
      </c>
      <c r="C142" s="50" t="inlineStr">
        <is>
          <t>Main pages &lt; 2 s</t>
        </is>
      </c>
      <c r="D142" s="50" t="inlineStr">
        <is>
          <t>&lt; 2 s</t>
        </is>
      </c>
      <c r="E142" s="50" t="inlineStr">
        <is>
          <t>P2</t>
        </is>
      </c>
      <c r="F142" s="50" t="inlineStr">
        <is>
          <t>Pass</t>
        </is>
      </c>
      <c r="G142" s="50" t="inlineStr">
        <is>
          <t>Server responses 0.3-0.65 s (empty workspace). Retest with 200 posts/files.</t>
        </is>
      </c>
      <c r="H142" s="50" t="n"/>
      <c r="I142" s="50" t="inlineStr">
        <is>
          <t>Claude (QA)</t>
        </is>
      </c>
      <c r="J142" s="50" t="inlineStr">
        <is>
          <t>2026-09-27</t>
        </is>
      </c>
      <c r="K142" s="50" t="n"/>
    </row>
    <row r="143" ht="15" customHeight="1" s="31">
      <c r="A143" s="50" t="inlineStr">
        <is>
          <t>S2</t>
        </is>
      </c>
      <c r="B143" s="50" t="inlineStr">
        <is>
          <t>S. Performance</t>
        </is>
      </c>
      <c r="C143" s="50" t="inlineStr">
        <is>
          <t>50 MB video upload</t>
        </is>
      </c>
      <c r="D143" s="50" t="inlineStr">
        <is>
          <t>Completes</t>
        </is>
      </c>
      <c r="E143" s="50" t="inlineStr">
        <is>
          <t>P2</t>
        </is>
      </c>
      <c r="F143" s="50" t="inlineStr">
        <is>
          <t>Not run</t>
        </is>
      </c>
      <c r="G143" s="50" t="n"/>
      <c r="H143" s="50" t="n"/>
      <c r="I143" s="50" t="inlineStr">
        <is>
          <t>Claude (QA)</t>
        </is>
      </c>
      <c r="J143" s="50" t="inlineStr">
        <is>
          <t>2026-09-27</t>
        </is>
      </c>
      <c r="K143" s="50" t="n"/>
    </row>
    <row r="144" ht="15" customHeight="1" s="31">
      <c r="A144" s="50" t="inlineStr">
        <is>
          <t>S3</t>
        </is>
      </c>
      <c r="B144" s="50" t="inlineStr">
        <is>
          <t>S. Performance</t>
        </is>
      </c>
      <c r="C144" s="50" t="inlineStr">
        <is>
          <t>Loading indicators, no double submit</t>
        </is>
      </c>
      <c r="D144" s="50" t="inlineStr">
        <is>
          <t>Shown</t>
        </is>
      </c>
      <c r="E144" s="50" t="inlineStr">
        <is>
          <t>P1</t>
        </is>
      </c>
      <c r="F144" s="50" t="inlineStr">
        <is>
          <t>Not run</t>
        </is>
      </c>
      <c r="G144" s="50" t="n"/>
      <c r="H144" s="50" t="n"/>
      <c r="I144" s="50" t="inlineStr">
        <is>
          <t>Claude (QA)</t>
        </is>
      </c>
      <c r="J144" s="50" t="inlineStr">
        <is>
          <t>2026-09-27</t>
        </is>
      </c>
      <c r="K144" s="50" t="n"/>
    </row>
  </sheetData>
  <autoFilter ref="A1:K144"/>
  <conditionalFormatting sqref="F2:F144">
    <cfRule type="cellIs" rank="0" priority="2" equalAverage="0" operator="equal" aboveAverage="0" dxfId="12" text="" percent="0" bottom="0">
      <formula>"Pass"</formula>
    </cfRule>
    <cfRule type="cellIs" rank="0" priority="3" equalAverage="0" operator="equal" aboveAverage="0" dxfId="0" text="" percent="0" bottom="0">
      <formula>"Fail"</formula>
    </cfRule>
    <cfRule type="cellIs" rank="0" priority="4" equalAverage="0" operator="equal" aboveAverage="0" dxfId="13" text="" percent="0" bottom="0">
      <formula>"Partial"</formula>
    </cfRule>
    <cfRule type="cellIs" rank="0" priority="5" equalAverage="0" operator="equal" aboveAverage="0" dxfId="14" text="" percent="0" bottom="0">
      <formula>"Blocked"</formula>
    </cfRule>
    <cfRule type="cellIs" rank="0" priority="6" equalAverage="0" operator="equal" aboveAverage="0" dxfId="15" text="" percent="0" bottom="0">
      <formula>"Not run"</formula>
    </cfRule>
  </conditionalFormatting>
  <conditionalFormatting sqref="E2:E144">
    <cfRule type="cellIs" rank="0" priority="7" equalAverage="0" operator="equal" aboveAverage="0" dxfId="16" text="" percent="0" bottom="0">
      <formula>"P0"</formula>
    </cfRule>
    <cfRule type="cellIs" rank="0" priority="8" equalAverage="0" operator="equal" aboveAverage="0" dxfId="17" text="" percent="0" bottom="0">
      <formula>"P1"</formula>
    </cfRule>
    <cfRule type="cellIs" rank="0" priority="9" equalAverage="0" operator="equal" aboveAverage="0" dxfId="18" text="" percent="0" bottom="0">
      <formula>"P2"</formula>
    </cfRule>
    <cfRule type="cellIs" rank="0" priority="10" equalAverage="0" operator="equal" aboveAverage="0" dxfId="14" text="" percent="0" bottom="0">
      <formula>"P3"</formula>
    </cfRule>
  </conditionalFormatting>
  <dataValidations count="1">
    <dataValidation sqref="F2:F144 K2:K144" showDropDown="0" showInputMessage="0" showErrorMessage="0" allowBlank="1" type="list" errorStyle="stop" operator="between">
      <formula1>"Pass,Fail,Partial,Blocked,Not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0" min="1" max="1"/>
    <col width="8" customWidth="1" style="30" min="2" max="2"/>
    <col width="12" customWidth="1" style="30" min="3" max="3"/>
    <col width="34" customWidth="1" style="30" min="4" max="5"/>
    <col width="24" customWidth="1" style="30" min="6" max="6"/>
    <col width="40" customWidth="1" style="30" min="7" max="7"/>
    <col width="24" customWidth="1" style="30" min="8" max="8"/>
    <col width="40" customWidth="1" style="30" min="9" max="9"/>
    <col width="9" customWidth="1" style="30" min="10" max="10"/>
    <col width="16" customWidth="1" style="30" min="11" max="11"/>
    <col width="12" customWidth="1" style="30" min="12" max="12"/>
    <col width="11" customWidth="1" style="30" min="13" max="13"/>
    <col width="70" customWidth="1" style="31" min="14" max="14"/>
  </cols>
  <sheetData>
    <row r="1" ht="23.85" customHeight="1" s="31">
      <c r="A1" s="49" t="inlineStr">
        <is>
          <t>Bug ID</t>
        </is>
      </c>
      <c r="B1" s="49" t="inlineStr">
        <is>
          <t>Severity</t>
        </is>
      </c>
      <c r="C1" s="49" t="inlineStr">
        <is>
          <t>Area</t>
        </is>
      </c>
      <c r="D1" s="49" t="inlineStr">
        <is>
          <t>Title</t>
        </is>
      </c>
      <c r="E1" s="49" t="inlineStr">
        <is>
          <t>Steps to reproduce</t>
        </is>
      </c>
      <c r="F1" s="49" t="inlineStr">
        <is>
          <t>Expected</t>
        </is>
      </c>
      <c r="G1" s="49" t="inlineStr">
        <is>
          <t>Actual</t>
        </is>
      </c>
      <c r="H1" s="49" t="inlineStr">
        <is>
          <t>Evidence</t>
        </is>
      </c>
      <c r="I1" s="49" t="inlineStr">
        <is>
          <t>Suggested fix</t>
        </is>
      </c>
      <c r="J1" s="49" t="inlineStr">
        <is>
          <t>Status</t>
        </is>
      </c>
      <c r="K1" s="49" t="inlineStr">
        <is>
          <t>Linked tests</t>
        </is>
      </c>
      <c r="L1" s="49" t="inlineStr">
        <is>
          <t>Owner</t>
        </is>
      </c>
      <c r="M1" s="49" t="inlineStr">
        <is>
          <t>Target date</t>
        </is>
      </c>
      <c r="N1" s="51" t="inlineStr">
        <is>
          <t>Engineering response (27 Sep)</t>
        </is>
      </c>
    </row>
    <row r="2" ht="22.35" customHeight="1" s="31">
      <c r="A2" s="50" t="inlineStr">
        <is>
          <t>BUG-01</t>
        </is>
      </c>
      <c r="B2" s="50" t="inlineStr">
        <is>
          <t>P0</t>
        </is>
      </c>
      <c r="C2" s="50" t="inlineStr">
        <is>
          <t>Release</t>
        </is>
      </c>
      <c r="D2" s="50" t="inlineStr">
        <is>
          <t>Production is still running pre-PR-#1 code</t>
        </is>
      </c>
      <c r="E2" s="50" t="inlineStr">
        <is>
          <t>Check Railway deployments for sm-bean and sm-bean-worker</t>
        </is>
      </c>
      <c r="F2" s="50" t="inlineStr">
        <is>
          <t>PR #1 deployed</t>
        </is>
      </c>
      <c r="G2" s="50" t="inlineStr">
        <is>
          <t>Last deploy 24 Sep, commit 566b08c. Every PR #1 fix (terms, pricing, logout POST, robots) is missing</t>
        </is>
      </c>
      <c r="H2" s="50" t="inlineStr">
        <is>
          <t>Railway deployments list; /terms/ 404</t>
        </is>
      </c>
      <c r="I2" s="50" t="inlineStr">
        <is>
          <t>Take a DB backup, merge PR #1, redeploy both services, re-run smoke</t>
        </is>
      </c>
      <c r="J2" s="50" t="inlineStr">
        <is>
          <t>Open</t>
        </is>
      </c>
      <c r="K2" s="50" t="inlineStr">
        <is>
          <t>PRE-1</t>
        </is>
      </c>
      <c r="L2" s="50" t="inlineStr">
        <is>
          <t>Eng / Hemant</t>
        </is>
      </c>
      <c r="M2" s="50" t="n"/>
      <c r="N2" s="52" t="inlineStr">
        <is>
          <t>Release branch claude/loving-euler-x05qbg = PR #1 + all round-1 fixes (2,357 tests green). Deploy = backup DB, merge, switch worker to run_worker, redeploy both. See docs/audit/QA_ROUND1_RESPONSE.md runbook.</t>
        </is>
      </c>
    </row>
    <row r="3" ht="32.8" customHeight="1" s="31">
      <c r="A3" s="50" t="inlineStr">
        <is>
          <t>BUG-02</t>
        </is>
      </c>
      <c r="B3" s="50" t="inlineStr">
        <is>
          <t>P0</t>
        </is>
      </c>
      <c r="C3" s="50" t="inlineStr">
        <is>
          <t>Email</t>
        </is>
      </c>
      <c r="D3" s="50" t="inlineStr">
        <is>
          <t>No SMTP configured: no email can be sent</t>
        </is>
      </c>
      <c r="E3" s="50" t="inlineStr">
        <is>
          <t>Railway &gt; sm-bean &gt; Variables</t>
        </is>
      </c>
      <c r="F3" s="50" t="inlineStr">
        <is>
          <t>EMAIL_HOST etc. set</t>
        </is>
      </c>
      <c r="G3" s="50" t="inlineStr">
        <is>
          <t>No email variables. Invites, password reset, magic links, approval requests, failure alerts all dead</t>
        </is>
      </c>
      <c r="H3" s="50" t="inlineStr">
        <is>
          <t>Variable list</t>
        </is>
      </c>
      <c r="I3" s="50" t="inlineStr">
        <is>
          <t>Add a transactional provider (Postmark/SES/Resend), set vars, verify SPF/DKIM/DMARC on the sending domain</t>
        </is>
      </c>
      <c r="J3" s="50" t="inlineStr">
        <is>
          <t>Open</t>
        </is>
      </c>
      <c r="K3" s="50" t="inlineStr">
        <is>
          <t>PRE-3, SMK-4, SMK-5, SMK-9, A3, A7, C2, G3, J5, O6</t>
        </is>
      </c>
      <c r="L3" s="50" t="inlineStr">
        <is>
          <t>Hemant</t>
        </is>
      </c>
      <c r="M3" s="50" t="n"/>
      <c r="N3" s="52" t="inlineStr">
        <is>
          <t>Code ready (EMAIL_HOST/PORT/USER/PASSWORD, DEFAULT_FROM_EMAIL). Needs a provider account (Resend/Postmark/SES) + SPF/DKIM/DMARC on the sending domain. Deploy check smbean.W004 flags it.</t>
        </is>
      </c>
    </row>
    <row r="4" ht="22.35" customHeight="1" s="31">
      <c r="A4" s="50" t="inlineStr">
        <is>
          <t>BUG-03</t>
        </is>
      </c>
      <c r="B4" s="50" t="inlineStr">
        <is>
          <t>P0</t>
        </is>
      </c>
      <c r="C4" s="50" t="inlineStr">
        <is>
          <t>Storage</t>
        </is>
      </c>
      <c r="D4" s="50" t="inlineStr">
        <is>
          <t>Media stored on container disk, not S3</t>
        </is>
      </c>
      <c r="E4" s="50" t="inlineStr">
        <is>
          <t>Upload an image; inspect URL</t>
        </is>
      </c>
      <c r="F4" s="50" t="inlineStr">
        <is>
          <t>S3/R2 URL, persists across deploys</t>
        </is>
      </c>
      <c r="G4" s="50" t="inlineStr">
        <is>
          <t>Served from /media/media_library/YYYY/MM/&lt;file&gt; on the web container; no volume, no S3 vars</t>
        </is>
      </c>
      <c r="H4" s="50" t="inlineStr">
        <is>
          <t>Network tab; Railway config</t>
        </is>
      </c>
      <c r="I4" s="50" t="inlineStr">
        <is>
          <t>Configure django-storages with S3/R2 (private bucket, signed URLs), migrate existing files</t>
        </is>
      </c>
      <c r="J4" s="50" t="inlineStr">
        <is>
          <t>Open</t>
        </is>
      </c>
      <c r="K4" s="50" t="inlineStr">
        <is>
          <t>PRE-4, SMK-6, I1, O3</t>
        </is>
      </c>
      <c r="L4" s="50" t="inlineStr">
        <is>
          <t>Eng</t>
        </is>
      </c>
      <c r="M4" s="50" t="n"/>
      <c r="N4" s="52" t="inlineStr">
        <is>
          <t>S3/R2 backend already in code (STORAGE_BACKEND=s3 + S3_*; private ACL, 1-h signed URLs). Create a Railway bucket or R2 bucket at cutover and set the vars; copy the few existing files.</t>
        </is>
      </c>
    </row>
    <row r="5" ht="32.8" customHeight="1" s="31">
      <c r="A5" s="50" t="inlineStr">
        <is>
          <t>BUG-04</t>
        </is>
      </c>
      <c r="B5" s="50" t="inlineStr">
        <is>
          <t>P1</t>
        </is>
      </c>
      <c r="C5" s="50" t="inlineStr">
        <is>
          <t>Ops</t>
        </is>
      </c>
      <c r="D5" s="50" t="inlineStr">
        <is>
          <t>Sentry, SUPPORT_EMAIL, WEBHOOK_SECRET missing; all logs tagged 'error'</t>
        </is>
      </c>
      <c r="E5" s="50" t="inlineStr">
        <is>
          <t>Railway variables and logs</t>
        </is>
      </c>
      <c r="F5" s="50" t="inlineStr">
        <is>
          <t>Set; correct log levels</t>
        </is>
      </c>
      <c r="G5" s="50" t="inlineStr">
        <is>
          <t>Not set; 404 warnings appear as severity error</t>
        </is>
      </c>
      <c r="H5" s="50" t="inlineStr">
        <is>
          <t>Railway logs</t>
        </is>
      </c>
      <c r="I5" s="50" t="inlineStr">
        <is>
          <t>Set vars; route INFO/WARNING to stdout at correct level (JSON logging)</t>
        </is>
      </c>
      <c r="J5" s="50" t="inlineStr">
        <is>
          <t>Partly fixed</t>
        </is>
      </c>
      <c r="K5" s="50" t="inlineStr">
        <is>
          <t>PRE-5, PRE-6, SMK-12, M3, O5</t>
        </is>
      </c>
      <c r="L5" s="50" t="inlineStr">
        <is>
          <t>Eng / Hemant</t>
        </is>
      </c>
      <c r="M5" s="50" t="n"/>
      <c r="N5" s="52" t="inlineStr">
        <is>
          <t>JSON logs on stdout with real levels; gunicorn lines to stdout; Sentry env/release. WEBHOOK_SECRET set on Railway 27 Sep. Still needs SENTRY_DSN (web + worker) and SUPPORT_EMAIL from owner.</t>
        </is>
      </c>
    </row>
    <row r="6" ht="32.8" customHeight="1" s="31">
      <c r="A6" s="50" t="inlineStr">
        <is>
          <t>BUG-05</t>
        </is>
      </c>
      <c r="B6" s="50" t="inlineStr">
        <is>
          <t>P0</t>
        </is>
      </c>
      <c r="C6" s="50" t="inlineStr">
        <is>
          <t>Auth</t>
        </is>
      </c>
      <c r="D6" s="50" t="inlineStr">
        <is>
          <t>Anyone can sign up with any email (invite-only not enforced)</t>
        </is>
      </c>
      <c r="E6" s="50" t="inlineStr">
        <is>
          <t>Logged out, open /accounts/signup/, submit any email + password</t>
        </is>
      </c>
      <c r="F6" s="50" t="inlineStr">
        <is>
          <t>'Signup is invite only' page, no account</t>
        </is>
      </c>
      <c r="G6" s="50" t="inlineStr">
        <is>
          <t>Account and workspace created immediately; no invite, no email verification</t>
        </is>
      </c>
      <c r="H6" s="50" t="inlineStr">
        <is>
          <t>Created qa-test-noninvited@example.com during test (please delete)</t>
        </is>
      </c>
      <c r="I6" s="50" t="inlineStr">
        <is>
          <t>Set SIGNUP_MODE=invite_only + SIGNUP_ALLOWLIST; enforce in allauth adapter for email and Google paths; require email verification</t>
        </is>
      </c>
      <c r="J6" s="50" t="inlineStr">
        <is>
          <t>Fixed – retest after deploy</t>
        </is>
      </c>
      <c r="K6" s="50" t="inlineStr">
        <is>
          <t>PRE-7, SMK-3, A2</t>
        </is>
      </c>
      <c r="L6" s="50" t="inlineStr">
        <is>
          <t>Eng</t>
        </is>
      </c>
      <c r="M6" s="50" t="n"/>
      <c r="N6" s="52" t="inlineStr">
        <is>
          <t>Invite-only enforced for email and Google signup (SIGNUP_MODE=invite_only now set on Railway); invite links now admit only the invited address. Turn on ACCOUNT_EMAIL_VERIFICATION=mandatory once SMTP works. Please delete qa-test-noninvited@example.com.</t>
        </is>
      </c>
    </row>
    <row r="7" ht="22.35" customHeight="1" s="31">
      <c r="A7" s="50" t="inlineStr">
        <is>
          <t>BUG-06</t>
        </is>
      </c>
      <c r="B7" s="50" t="inlineStr">
        <is>
          <t>P0</t>
        </is>
      </c>
      <c r="C7" s="50" t="inlineStr">
        <is>
          <t>Publisher</t>
        </is>
      </c>
      <c r="D7" s="50" t="inlineStr">
        <is>
          <t>Worker runs the wrong command</t>
        </is>
      </c>
      <c r="E7" s="50" t="inlineStr">
        <is>
          <t>Railway &gt; sm-bean-worker &gt; Start command</t>
        </is>
      </c>
      <c r="F7" s="50" t="inlineStr">
        <is>
          <t>run_worker</t>
        </is>
      </c>
      <c r="G7" s="50" t="inlineStr">
        <is>
          <t>python manage.py process_tasks</t>
        </is>
      </c>
      <c r="H7" s="50" t="inlineStr">
        <is>
          <t>Service config</t>
        </is>
      </c>
      <c r="I7" s="50" t="inlineStr">
        <is>
          <t>Set start command to run_worker after PR #1; restart after migrations</t>
        </is>
      </c>
      <c r="J7" s="50" t="inlineStr">
        <is>
          <t>Open</t>
        </is>
      </c>
      <c r="K7" s="50" t="inlineStr">
        <is>
          <t>PRE-8, SMK-10, N1</t>
        </is>
      </c>
      <c r="L7" s="50" t="inlineStr">
        <is>
          <t>Eng</t>
        </is>
      </c>
      <c r="M7" s="50" t="n"/>
      <c r="N7" s="52" t="inlineStr">
        <is>
          <t>run_worker ships with the release; set worker start command to 'python manage.py run_worker' in the same deploy (it does not exist on the current prod code).</t>
        </is>
      </c>
    </row>
    <row r="8" ht="32.8" customHeight="1" s="31">
      <c r="A8" s="50" t="inlineStr">
        <is>
          <t>BUG-07</t>
        </is>
      </c>
      <c r="B8" s="50" t="inlineStr">
        <is>
          <t>P0</t>
        </is>
      </c>
      <c r="C8" s="50" t="inlineStr">
        <is>
          <t>Security</t>
        </is>
      </c>
      <c r="D8" s="50" t="inlineStr">
        <is>
          <t>Pre-deploy re-creates superuser and resets its password on every deploy</t>
        </is>
      </c>
      <c r="E8" s="50" t="inlineStr">
        <is>
          <t>Railway &gt; sm-bean &gt; pre-deploy command</t>
        </is>
      </c>
      <c r="F8" s="50" t="inlineStr">
        <is>
          <t>No superuser bootstrap in prod</t>
        </is>
      </c>
      <c r="G8" s="50" t="inlineStr">
        <is>
          <t>DJANGO_SUPERUSER_EMAIL/PASSWORD set; shell snippet sets password every deploy; /admin/ publicly reachable</t>
        </is>
      </c>
      <c r="H8" s="50" t="inlineStr">
        <is>
          <t>Service config</t>
        </is>
      </c>
      <c r="I8" s="50" t="inlineStr">
        <is>
          <t>Remove the snippet and vars, rotate the admin password, restrict /admin/ (IP allowlist or 2FA) and throttle it</t>
        </is>
      </c>
      <c r="J8" s="50" t="inlineStr">
        <is>
          <t>Open</t>
        </is>
      </c>
      <c r="K8" s="50" t="inlineStr">
        <is>
          <t>PRE-9, M4</t>
        </is>
      </c>
      <c r="L8" s="50" t="inlineStr">
        <is>
          <t>Eng / Hemant</t>
        </is>
      </c>
      <c r="M8" s="50" t="n"/>
      <c r="N8" s="52" t="inlineStr">
        <is>
          <t>Railway pre-deploy changed 27 Sep to 'python manage.py migrate --noinput' (no more password reset). New ADMIN_URL + ADMIN_ALLOWED_IPS; admin login throttled. Owner: delete DJANGO_SUPERUSER_* vars and rotate the admin password.</t>
        </is>
      </c>
    </row>
    <row r="9" ht="32.8" customHeight="1" s="31">
      <c r="A9" s="50" t="inlineStr">
        <is>
          <t>BUG-08</t>
        </is>
      </c>
      <c r="B9" s="50" t="inlineStr">
        <is>
          <t>P0</t>
        </is>
      </c>
      <c r="C9" s="50" t="inlineStr">
        <is>
          <t>Legal</t>
        </is>
      </c>
      <c r="D9" s="50" t="inlineStr">
        <is>
          <t>Terms and Privacy missing; signup links to another company's legal pages</t>
        </is>
      </c>
      <c r="E9" s="50" t="inlineStr">
        <is>
          <t>Open /terms/, /privacy/; check signup footer links</t>
        </is>
      </c>
      <c r="F9" s="50" t="inlineStr">
        <is>
          <t>Own legal pages</t>
        </is>
      </c>
      <c r="G9" s="50" t="inlineStr">
        <is>
          <t>404; signup links to brightbean.xyz/terms-of-service and /privacy-policy</t>
        </is>
      </c>
      <c r="H9" s="50" t="inlineStr">
        <is>
          <t>Page source of /accounts/signup/</t>
        </is>
      </c>
      <c r="I9" s="50" t="inlineStr">
        <is>
          <t>Publish real Terms/Privacy (DPDP + GDPR basics, Meta/Google data-use wording needed for app review) and relink</t>
        </is>
      </c>
      <c r="J9" s="50" t="inlineStr">
        <is>
          <t>Fixed – retest after deploy</t>
        </is>
      </c>
      <c r="K9" s="50" t="inlineStr">
        <is>
          <t>PRE-11, R2</t>
        </is>
      </c>
      <c r="L9" s="50" t="inlineStr">
        <is>
          <t>Eng / Legal</t>
        </is>
      </c>
      <c r="M9" s="50" t="n"/>
      <c r="N9" s="52" t="inlineStr">
        <is>
          <t>/terms/, /privacy/ (DPDP + GDPR, Google Limited Use, Meta Platform Terms) and new /support/. Shown as 'Draft' until LEGAL_PAGES_REVIEWED=true after counsel review; set LEGAL_ENTITY_NAME.</t>
        </is>
      </c>
    </row>
    <row r="10" ht="22.35" customHeight="1" s="31">
      <c r="A10" s="50" t="inlineStr">
        <is>
          <t>BUG-09</t>
        </is>
      </c>
      <c r="B10" s="50" t="inlineStr">
        <is>
          <t>P0</t>
        </is>
      </c>
      <c r="C10" s="50" t="inlineStr">
        <is>
          <t>QA setup</t>
        </is>
      </c>
      <c r="D10" s="50" t="inlineStr">
        <is>
          <t>No test social accounts connected</t>
        </is>
      </c>
      <c r="E10" s="50" t="inlineStr">
        <is>
          <t>Open Social accounts</t>
        </is>
      </c>
      <c r="F10" s="50" t="inlineStr">
        <is>
          <t>Bluesky, Mastodon, DEV.to + Meta/YouTube tester accounts</t>
        </is>
      </c>
      <c r="G10" s="50" t="inlineStr">
        <is>
          <t>0 accounts</t>
        </is>
      </c>
      <c r="H10" s="50" t="inlineStr">
        <is>
          <t>Connect page</t>
        </is>
      </c>
      <c r="I10" s="50" t="inlineStr">
        <is>
          <t>Create and connect dedicated test accounts before the next round</t>
        </is>
      </c>
      <c r="J10" s="50" t="inlineStr">
        <is>
          <t>Open</t>
        </is>
      </c>
      <c r="K10" s="50" t="inlineStr">
        <is>
          <t>PRE-12, SMK-7, SMK-8, D1</t>
        </is>
      </c>
      <c r="L10" s="50" t="inlineStr">
        <is>
          <t>Hemant</t>
        </is>
      </c>
      <c r="M10" s="50" t="n"/>
      <c r="N10" s="52" t="inlineStr">
        <is>
          <t>Create and connect Bluesky, Mastodon, DEV.to test accounts (+ Meta/YouTube tester accounts) before round 2.</t>
        </is>
      </c>
    </row>
    <row r="11" ht="22.35" customHeight="1" s="31">
      <c r="A11" s="50" t="inlineStr">
        <is>
          <t>BUG-10</t>
        </is>
      </c>
      <c r="B11" s="50" t="inlineStr">
        <is>
          <t>P1</t>
        </is>
      </c>
      <c r="C11" s="50" t="inlineStr">
        <is>
          <t>Auth</t>
        </is>
      </c>
      <c r="D11" s="50" t="inlineStr">
        <is>
          <t>Logout works over GET; logout is a link</t>
        </is>
      </c>
      <c r="E11" s="50" t="inlineStr">
        <is>
          <t>Visit /accounts/logout/ in any tab or via an &lt;img&gt; on another site</t>
        </is>
      </c>
      <c r="F11" s="50" t="inlineStr">
        <is>
          <t>Confirmation page / POST button</t>
        </is>
      </c>
      <c r="G11" s="50" t="inlineStr">
        <is>
          <t>User is signed out silently</t>
        </is>
      </c>
      <c r="H11" s="50" t="inlineStr">
        <is>
          <t>Reproduced in Chrome and in-app browser</t>
        </is>
      </c>
      <c r="I11" s="50" t="inlineStr">
        <is>
          <t>ACCOUNT_LOGOUT_ON_GET=False; turn sidebar item into a POST form button</t>
        </is>
      </c>
      <c r="J11" s="50" t="inlineStr">
        <is>
          <t>Fixed – retest after deploy</t>
        </is>
      </c>
      <c r="K11" s="50" t="inlineStr">
        <is>
          <t>A9, A10</t>
        </is>
      </c>
      <c r="L11" s="50" t="inlineStr">
        <is>
          <t>Eng</t>
        </is>
      </c>
      <c r="M11" s="50" t="n"/>
      <c r="N11" s="52" t="inlineStr">
        <is>
          <t>Logout is POST-only (GET returns 405, verified in Chrome); sidebar uses a POST button.</t>
        </is>
      </c>
    </row>
    <row r="12" ht="22.35" customHeight="1" s="31">
      <c r="A12" s="50" t="inlineStr">
        <is>
          <t>BUG-11</t>
        </is>
      </c>
      <c r="B12" s="50" t="inlineStr">
        <is>
          <t>P1</t>
        </is>
      </c>
      <c r="C12" s="50" t="inlineStr">
        <is>
          <t>Onboarding</t>
        </is>
      </c>
      <c r="D12" s="50" t="inlineStr">
        <is>
          <t>No onboarding checklist for new users</t>
        </is>
      </c>
      <c r="E12" s="50" t="inlineStr">
        <is>
          <t>Sign up; land in app</t>
        </is>
      </c>
      <c r="F12" s="50" t="inlineStr">
        <is>
          <t>4-step checklist</t>
        </is>
      </c>
      <c r="G12" s="50" t="inlineStr">
        <is>
          <t>Straight to Publish with a generic empty state</t>
        </is>
      </c>
      <c r="H12" s="50" t="inlineStr">
        <is>
          <t>Screenshot 01</t>
        </is>
      </c>
      <c r="I12" s="50" t="inlineStr">
        <is>
          <t>Build the checklist card on first run (connect, post, idea, invite) with progress</t>
        </is>
      </c>
      <c r="J12" s="50" t="inlineStr">
        <is>
          <t>Fixed – retest after deploy</t>
        </is>
      </c>
      <c r="K12" s="50" t="inlineStr">
        <is>
          <t>B1</t>
        </is>
      </c>
      <c r="L12" s="50" t="inlineStr">
        <is>
          <t>Eng</t>
        </is>
      </c>
      <c r="M12" s="50" t="n"/>
      <c r="N12" s="52" t="inlineStr">
        <is>
          <t>4-step Get started checklist with progress, minimise and dismiss (verified in Chrome).</t>
        </is>
      </c>
    </row>
    <row r="13" ht="22.35" customHeight="1" s="31">
      <c r="A13" s="50" t="inlineStr">
        <is>
          <t>BUG-12</t>
        </is>
      </c>
      <c r="B13" s="50" t="inlineStr">
        <is>
          <t>P1</t>
        </is>
      </c>
      <c r="C13" s="50" t="inlineStr">
        <is>
          <t>Social</t>
        </is>
      </c>
      <c r="D13" s="50" t="inlineStr">
        <is>
          <t>Sidebar promotes platforms that cannot be connected</t>
        </is>
      </c>
      <c r="E13" s="50" t="inlineStr">
        <is>
          <t>Look at sidebar 'CONNECT CHANNELS'</t>
        </is>
      </c>
      <c r="F13" s="50" t="inlineStr">
        <is>
          <t>Only ready platforms</t>
        </is>
      </c>
      <c r="G13" s="50" t="inlineStr">
        <is>
          <t>'LinkedIn (Company Page)' and 'TikTok' shown as first suggestions</t>
        </is>
      </c>
      <c r="H13" s="50" t="inlineStr">
        <is>
          <t>Screenshot 01</t>
        </is>
      </c>
      <c r="I13" s="50" t="inlineStr">
        <is>
          <t>Drive the sidebar list from configured platforms; label others 'Coming soon'</t>
        </is>
      </c>
      <c r="J13" s="50" t="inlineStr">
        <is>
          <t>Fixed – retest after deploy</t>
        </is>
      </c>
      <c r="K13" s="50" t="inlineStr">
        <is>
          <t>D7</t>
        </is>
      </c>
      <c r="L13" s="50" t="inlineStr">
        <is>
          <t>Eng</t>
        </is>
      </c>
      <c r="M13" s="50" t="n"/>
      <c r="N13" s="52" t="inlineStr">
        <is>
          <t>Sidebar lists only connectable platforms; unavailable ones say 'Coming soon' for everyone.</t>
        </is>
      </c>
    </row>
    <row r="14" ht="32.8" customHeight="1" s="31">
      <c r="A14" s="50" t="inlineStr">
        <is>
          <t>BUG-13</t>
        </is>
      </c>
      <c r="B14" s="50" t="inlineStr">
        <is>
          <t>P0</t>
        </is>
      </c>
      <c r="C14" s="50" t="inlineStr">
        <is>
          <t>Composer</t>
        </is>
      </c>
      <c r="D14" s="50" t="inlineStr">
        <is>
          <t>Save Draft with no account silently discards the post</t>
        </is>
      </c>
      <c r="E14" s="50" t="inlineStr">
        <is>
          <t>Compose &gt; type caption &gt; Save Draft (no channel selected)</t>
        </is>
      </c>
      <c r="F14" s="50" t="inlineStr">
        <is>
          <t>Draft saved, or clear error</t>
        </is>
      </c>
      <c r="G14" s="50" t="inlineStr">
        <is>
          <t>204, redirect to Publish, no message, '0 drafts'</t>
        </is>
      </c>
      <c r="H14" s="50" t="inlineStr">
        <is>
          <t>Network: POST compose/save/ 204</t>
        </is>
      </c>
      <c r="I14" s="50" t="inlineStr">
        <is>
          <t>Allow account-less drafts (drafts should not need a channel) or block with inline error; never 204 on a no-op</t>
        </is>
      </c>
      <c r="J14" s="50" t="inlineStr">
        <is>
          <t>Fixed – retest after deploy</t>
        </is>
      </c>
      <c r="K14" s="50" t="inlineStr">
        <is>
          <t>E1, E14</t>
        </is>
      </c>
      <c r="L14" s="50" t="inlineStr">
        <is>
          <t>Eng</t>
        </is>
      </c>
      <c r="M14" s="50" t="n"/>
      <c r="N14" s="52" t="inlineStr">
        <is>
          <t>Save Draft with no channel saves, shows 'Draft saved', stays on the post (verified in Chrome); channel-less drafts appear in Publish &gt; Drafts and its badge.</t>
        </is>
      </c>
    </row>
    <row r="15" ht="22.35" customHeight="1" s="31">
      <c r="A15" s="50" t="inlineStr">
        <is>
          <t>BUG-14</t>
        </is>
      </c>
      <c r="B15" s="50" t="inlineStr">
        <is>
          <t>P1</t>
        </is>
      </c>
      <c r="C15" s="50" t="inlineStr">
        <is>
          <t>Composer</t>
        </is>
      </c>
      <c r="D15" s="50" t="inlineStr">
        <is>
          <t>Idea 'Create Post' makes an invisible ghost post and drops the title</t>
        </is>
      </c>
      <c r="E15" s="50" t="inlineStr">
        <is>
          <t>Idea &gt; Create Post</t>
        </is>
      </c>
      <c r="F15" s="50" t="inlineStr">
        <is>
          <t>Draft visible in Drafts, title kept</t>
        </is>
      </c>
      <c r="G15" s="50" t="inlineStr">
        <is>
          <t>Post record exists only by URL; Drafts shows 0; title lost</t>
        </is>
      </c>
      <c r="H15" s="50" t="inlineStr">
        <is>
          <t>Post 5265c8a5… (deleted after test)</t>
        </is>
      </c>
      <c r="I15" s="50" t="inlineStr">
        <is>
          <t>Include account-less posts in Drafts; map idea title into caption or post title</t>
        </is>
      </c>
      <c r="J15" s="50" t="inlineStr">
        <is>
          <t>Fixed – retest after deploy</t>
        </is>
      </c>
      <c r="K15" s="50" t="inlineStr">
        <is>
          <t>E4, E16</t>
        </is>
      </c>
      <c r="L15" s="50" t="inlineStr">
        <is>
          <t>Eng</t>
        </is>
      </c>
      <c r="M15" s="50" t="n"/>
      <c r="N15" s="52" t="inlineStr">
        <is>
          <t>Idea &gt; Create Post keeps the title (shown in drafts; seeds an empty caption) and the post is visible in Drafts.</t>
        </is>
      </c>
    </row>
    <row r="16" ht="22.35" customHeight="1" s="31">
      <c r="A16" s="50" t="inlineStr">
        <is>
          <t>BUG-15</t>
        </is>
      </c>
      <c r="B16" s="50" t="inlineStr">
        <is>
          <t>P1</t>
        </is>
      </c>
      <c r="C16" s="50" t="inlineStr">
        <is>
          <t>Media</t>
        </is>
      </c>
      <c r="D16" s="50" t="inlineStr">
        <is>
          <t>Rejected uploads fail silently</t>
        </is>
      </c>
      <c r="E16" s="50" t="inlineStr">
        <is>
          <t>Upload a text file renamed .jpg</t>
        </is>
      </c>
      <c r="F16" s="50" t="inlineStr">
        <is>
          <t>Inline error naming the reason</t>
        </is>
      </c>
      <c r="G16" s="50" t="inlineStr">
        <is>
          <t>HTTP 200 empty body, page reloads, file gone</t>
        </is>
      </c>
      <c r="H16" s="50" t="inlineStr">
        <is>
          <t>Network</t>
        </is>
      </c>
      <c r="I16" s="50" t="inlineStr">
        <is>
          <t>Return 400 with per-file errors and show them in the uploader</t>
        </is>
      </c>
      <c r="J16" s="50" t="inlineStr">
        <is>
          <t>Fixed – retest after deploy</t>
        </is>
      </c>
      <c r="K16" s="50" t="inlineStr">
        <is>
          <t>E8</t>
        </is>
      </c>
      <c r="L16" s="50" t="inlineStr">
        <is>
          <t>Eng</t>
        </is>
      </c>
      <c r="M16" s="50" t="n"/>
      <c r="N16" s="52" t="inlineStr">
        <is>
          <t>Uploads answer 400 with a per-file reason shown inline (verified in Chrome). Also closed: composer/idea uploads skipped type checks (stored-XSS risk).</t>
        </is>
      </c>
    </row>
    <row r="17" ht="32.8" customHeight="1" s="31">
      <c r="A17" s="50" t="inlineStr">
        <is>
          <t>BUG-16</t>
        </is>
      </c>
      <c r="B17" s="50" t="inlineStr">
        <is>
          <t>P1</t>
        </is>
      </c>
      <c r="C17" s="50" t="inlineStr">
        <is>
          <t>CSV import</t>
        </is>
      </c>
      <c r="D17" s="50" t="inlineStr">
        <is>
          <t>CSV preview crashes (500) on every file</t>
        </is>
      </c>
      <c r="E17" s="50" t="inlineStr">
        <is>
          <t>Import CSV &gt; Upload &gt; Validate &amp; Preview</t>
        </is>
      </c>
      <c r="F17" s="50" t="inlineStr">
        <is>
          <t>Preview with row errors</t>
        </is>
      </c>
      <c r="G17" s="50" t="inlineStr">
        <is>
          <t>Server Error (500): AttributeError SocialAccount.Platform (views.py:3434)</t>
        </is>
      </c>
      <c r="H17" s="50" t="inlineStr">
        <is>
          <t>Railway logs 06:21 and 06:22 UTC</t>
        </is>
      </c>
      <c r="I17" s="50" t="inlineStr">
        <is>
          <t>Use the correct platform enum (e.g. SocialAccount.platform choices / Platform model); add a unit test for csv_preview</t>
        </is>
      </c>
      <c r="J17" s="50" t="inlineStr">
        <is>
          <t>Fixed – retest after deploy</t>
        </is>
      </c>
      <c r="K17" s="50" t="inlineStr">
        <is>
          <t>H1, H2, H3</t>
        </is>
      </c>
      <c r="L17" s="50" t="inlineStr">
        <is>
          <t>Eng</t>
        </is>
      </c>
      <c r="M17" s="50" t="n"/>
      <c r="N17" s="52" t="inlineStr">
        <is>
          <t>Wrong enum fixed; row-level errors render. Regression tests added.</t>
        </is>
      </c>
    </row>
    <row r="18" ht="22.35" customHeight="1" s="31">
      <c r="A18" s="50" t="inlineStr">
        <is>
          <t>BUG-17</t>
        </is>
      </c>
      <c r="B18" s="50" t="inlineStr">
        <is>
          <t>P0</t>
        </is>
      </c>
      <c r="C18" s="50" t="inlineStr">
        <is>
          <t>Security</t>
        </is>
      </c>
      <c r="D18" s="50" t="inlineStr">
        <is>
          <t>Media files are public to anyone with the URL (cross-tenant)</t>
        </is>
      </c>
      <c r="E18" s="50" t="inlineStr">
        <is>
          <t>Log out (or log in as Org B), open /media/media_library/2026/09/&lt;file&gt;</t>
        </is>
      </c>
      <c r="F18" s="50" t="inlineStr">
        <is>
          <t>403 / signed URL</t>
        </is>
      </c>
      <c r="G18" s="50" t="inlineStr">
        <is>
          <t>File downloads (200/206)</t>
        </is>
      </c>
      <c r="H18" s="50" t="inlineStr">
        <is>
          <t>Tested logged-out and as outsider</t>
        </is>
      </c>
      <c r="I18" s="50" t="inlineStr">
        <is>
          <t>Private bucket + short-lived signed URLs, or an auth-checked media view; random (UUID) filenames</t>
        </is>
      </c>
      <c r="J18" s="50" t="inlineStr">
        <is>
          <t>Open</t>
        </is>
      </c>
      <c r="K18" s="50" t="inlineStr">
        <is>
          <t>L1</t>
        </is>
      </c>
      <c r="L18" s="50" t="inlineStr">
        <is>
          <t>Eng</t>
        </is>
      </c>
      <c r="M18" s="50" t="n"/>
      <c r="N18" s="52" t="inlineStr">
        <is>
          <t>New uploads get random 128-bit filenames; Caddy limited to public prefixes. Full fix = private S3 bucket with signed URLs at cutover (BUG-03).</t>
        </is>
      </c>
    </row>
    <row r="19" ht="22.35" customHeight="1" s="31">
      <c r="A19" s="50" t="inlineStr">
        <is>
          <t>BUG-18</t>
        </is>
      </c>
      <c r="B19" s="50" t="inlineStr">
        <is>
          <t>P1</t>
        </is>
      </c>
      <c r="C19" s="50" t="inlineStr">
        <is>
          <t>Accessibility</t>
        </is>
      </c>
      <c r="D19" s="50" t="inlineStr">
        <is>
          <t>Modals do not manage focus</t>
        </is>
      </c>
      <c r="E19" s="50" t="inlineStr">
        <is>
          <t>Create Idea &gt; press Tab</t>
        </is>
      </c>
      <c r="F19" s="50" t="inlineStr">
        <is>
          <t>Focus inside dialog, trapped</t>
        </is>
      </c>
      <c r="G19" s="50" t="inlineStr">
        <is>
          <t>Focus stays on trigger; Tab reaches page behind; no dialog role</t>
        </is>
      </c>
      <c r="H19" s="50" t="inlineStr">
        <is>
          <t>Keyboard test</t>
        </is>
      </c>
      <c r="I19" s="50" t="inlineStr">
        <is>
          <t>Use a dialog primitive (native &lt;dialog&gt; or focus-trap), role=dialog, aria-modal, return focus</t>
        </is>
      </c>
      <c r="J19" s="50" t="inlineStr">
        <is>
          <t>Fixed – retest after deploy</t>
        </is>
      </c>
      <c r="K19" s="50" t="inlineStr">
        <is>
          <t>P2</t>
        </is>
      </c>
      <c r="L19" s="50" t="inlineStr">
        <is>
          <t>Eng</t>
        </is>
      </c>
      <c r="M19" s="50" t="n"/>
      <c r="N19" s="52" t="inlineStr">
        <is>
          <t>Dialogs use role=dialog, aria-modal, x-trap focus trap, Esc, focus return.</t>
        </is>
      </c>
    </row>
    <row r="20" ht="22.35" customHeight="1" s="31">
      <c r="A20" s="50" t="inlineStr">
        <is>
          <t>BUG-19</t>
        </is>
      </c>
      <c r="B20" s="50" t="inlineStr">
        <is>
          <t>P2</t>
        </is>
      </c>
      <c r="C20" s="50" t="inlineStr">
        <is>
          <t>Design</t>
        </is>
      </c>
      <c r="D20" s="50" t="inlineStr">
        <is>
          <t>Brand colours fail contrast</t>
        </is>
      </c>
      <c r="E20" s="50" t="inlineStr">
        <is>
          <t>Measure primary buttons/links</t>
        </is>
      </c>
      <c r="F20" s="50" t="inlineStr">
        <is>
          <t>≥4.5:1</t>
        </is>
      </c>
      <c r="G20" s="50" t="inlineStr">
        <is>
          <t>2.5-2.8:1</t>
        </is>
      </c>
      <c r="H20" s="50" t="inlineStr">
        <is>
          <t>Contrast script</t>
        </is>
      </c>
      <c r="I20" s="50" t="inlineStr">
        <is>
          <t>Darken brand orange to ~#C2410C and olive to ~#5F6B1F for text/buttons; keep bright tints for fills</t>
        </is>
      </c>
      <c r="J20" s="50" t="inlineStr">
        <is>
          <t>Fixed – retest after deploy</t>
        </is>
      </c>
      <c r="K20" s="50" t="inlineStr">
        <is>
          <t>P4</t>
        </is>
      </c>
      <c r="L20" s="50" t="inlineStr">
        <is>
          <t>Eng</t>
        </is>
      </c>
      <c r="M20" s="50" t="n"/>
      <c r="N20" s="52" t="inlineStr">
        <is>
          <t>--primary is #C2410C (5.2:1); orange text/buttons moved to 700/800; olive removed.</t>
        </is>
      </c>
    </row>
    <row r="21" ht="22.35" customHeight="1" s="31">
      <c r="A21" s="50" t="inlineStr">
        <is>
          <t>BUG-20</t>
        </is>
      </c>
      <c r="B21" s="50" t="inlineStr">
        <is>
          <t>P2</t>
        </is>
      </c>
      <c r="C21" s="50" t="inlineStr">
        <is>
          <t>Publish</t>
        </is>
      </c>
      <c r="D21" s="50" t="inlineStr">
        <is>
          <t>Empty state hijacks Publish tabs and Calendar toggle</t>
        </is>
      </c>
      <c r="E21" s="50" t="inlineStr">
        <is>
          <t>No channel connected; click Drafts, then Calendar</t>
        </is>
      </c>
      <c r="F21" s="50" t="inlineStr">
        <is>
          <t>Show drafts; switch view</t>
        </is>
      </c>
      <c r="G21" s="50" t="inlineStr">
        <is>
          <t>Every tab shows 'Welcome'; first Calendar click ignored</t>
        </is>
      </c>
      <c r="H21" s="50" t="inlineStr">
        <is>
          <t>Screenshot 03</t>
        </is>
      </c>
      <c r="I21" s="50" t="inlineStr">
        <is>
          <t>Show empty state as a banner, keep tabs functional</t>
        </is>
      </c>
      <c r="J21" s="50" t="inlineStr">
        <is>
          <t>Fixed – retest after deploy</t>
        </is>
      </c>
      <c r="K21" s="50" t="inlineStr">
        <is>
          <t>F1, F8</t>
        </is>
      </c>
      <c r="L21" s="50" t="inlineStr">
        <is>
          <t>Eng</t>
        </is>
      </c>
      <c r="M21" s="50" t="n"/>
      <c r="N21" s="52" t="inlineStr">
        <is>
          <t>One slim 'connect a channel' banner; tabs keep their own content. Calendar toggle worked on first click in Chrome retest; Back/Forward partial bug also fixed.</t>
        </is>
      </c>
    </row>
    <row r="22" ht="22.35" customHeight="1" s="31">
      <c r="A22" s="50" t="inlineStr">
        <is>
          <t>BUG-21</t>
        </is>
      </c>
      <c r="B22" s="50" t="inlineStr">
        <is>
          <t>P2</t>
        </is>
      </c>
      <c r="C22" s="50" t="inlineStr">
        <is>
          <t>Media</t>
        </is>
      </c>
      <c r="D22" s="50" t="inlineStr">
        <is>
          <t>Video has no thumbnail and preview player never loads</t>
        </is>
      </c>
      <c r="E22" s="50" t="inlineStr">
        <is>
          <t>Media &gt; open MP4</t>
        </is>
      </c>
      <c r="F22" s="50" t="inlineStr">
        <is>
          <t>Thumbnail + playable</t>
        </is>
      </c>
      <c r="G22" s="50" t="inlineStr">
        <is>
          <t>Grey icon; player stuck at 0:00</t>
        </is>
      </c>
      <c r="H22" s="50" t="inlineStr">
        <is>
          <t>Screenshot 05</t>
        </is>
      </c>
      <c r="I22" s="50" t="inlineStr">
        <is>
          <t>Generate poster frame on upload; serve with Range support</t>
        </is>
      </c>
      <c r="J22" s="50" t="inlineStr">
        <is>
          <t>Fixed – retest after deploy</t>
        </is>
      </c>
      <c r="K22" s="50" t="inlineStr">
        <is>
          <t>I2</t>
        </is>
      </c>
      <c r="L22" s="50" t="inlineStr">
        <is>
          <t>Eng</t>
        </is>
      </c>
      <c r="M22" s="50" t="n"/>
      <c r="N22" s="52" t="inlineStr">
        <is>
          <t>Poster frame + Range-capable stream for the player; composer/idea uploads now queue thumbnail generation (worker must be on run_worker).</t>
        </is>
      </c>
    </row>
    <row r="23" ht="22.35" customHeight="1" s="31">
      <c r="A23" s="50" t="inlineStr">
        <is>
          <t>BUG-22</t>
        </is>
      </c>
      <c r="B23" s="50" t="inlineStr">
        <is>
          <t>P1</t>
        </is>
      </c>
      <c r="C23" s="50" t="inlineStr">
        <is>
          <t>Content</t>
        </is>
      </c>
      <c r="D23" s="50" t="inlineStr">
        <is>
          <t>Signup copy over-promises platforms; pricing page missing</t>
        </is>
      </c>
      <c r="E23" s="50" t="inlineStr">
        <is>
          <t>Open signup, /pricing/</t>
        </is>
      </c>
      <c r="F23" s="50" t="inlineStr">
        <is>
          <t>Accurate claims</t>
        </is>
      </c>
      <c r="G23" s="50" t="inlineStr">
        <is>
          <t>'10+ platforms'; /pricing/ 404</t>
        </is>
      </c>
      <c r="H23" s="50" t="inlineStr">
        <is>
          <t>Screenshot 02</t>
        </is>
      </c>
      <c r="I23" s="50" t="inlineStr">
        <is>
          <t>Say 'Bluesky, Mastodon and DEV.to today; Meta and YouTube coming soon'</t>
        </is>
      </c>
      <c r="J23" s="50" t="inlineStr">
        <is>
          <t>Fixed – retest after deploy</t>
        </is>
      </c>
      <c r="K23" s="50" t="inlineStr">
        <is>
          <t>R1</t>
        </is>
      </c>
      <c r="L23" s="50" t="inlineStr">
        <is>
          <t>Eng</t>
        </is>
      </c>
      <c r="M23" s="50" t="n"/>
      <c r="N23" s="52" t="inlineStr">
        <is>
          <t>Copy lists live platforms from LAUNCHED_PLATFORMS (Bluesky, Mastodon, DEV.to) and the rest as coming soon; /pricing/ live.</t>
        </is>
      </c>
    </row>
    <row r="24" ht="22.35" customHeight="1" s="31">
      <c r="A24" s="50" t="inlineStr">
        <is>
          <t>BUG-23</t>
        </is>
      </c>
      <c r="B24" s="50" t="inlineStr">
        <is>
          <t>P2</t>
        </is>
      </c>
      <c r="C24" s="50" t="inlineStr">
        <is>
          <t>Brand</t>
        </is>
      </c>
      <c r="D24" s="50" t="inlineStr">
        <is>
          <t>BrightBean leftovers</t>
        </is>
      </c>
      <c r="E24" s="50" t="inlineStr">
        <is>
          <t>Login/signup</t>
        </is>
      </c>
      <c r="F24" s="50" t="inlineStr">
        <is>
          <t>SM Bean brand only</t>
        </is>
      </c>
      <c r="G24" s="50" t="inlineStr">
        <is>
          <t>BrightBean Studio mascot logo ('STUDIO' badge), 'SM BEAN · STUDIO'</t>
        </is>
      </c>
      <c r="H24" s="50" t="inlineStr">
        <is>
          <t>Screenshot 02</t>
        </is>
      </c>
      <c r="I24" s="50" t="inlineStr">
        <is>
          <t>Replace logo and eyebrow; grep templates/static for 'brightbean'</t>
        </is>
      </c>
      <c r="J24" s="50" t="inlineStr">
        <is>
          <t>Fixed – retest after deploy</t>
        </is>
      </c>
      <c r="K24" s="50" t="inlineStr">
        <is>
          <t>R3</t>
        </is>
      </c>
      <c r="L24" s="50" t="inlineStr">
        <is>
          <t>Eng</t>
        </is>
      </c>
      <c r="M24" s="50" t="n"/>
      <c r="N24" s="52" t="inlineStr">
        <is>
          <t>Mascot/STUDIO/brightbean.xyz removed from login, signup, legal. (Held back PR #2 marketing site: it reintroduces them.)</t>
        </is>
      </c>
    </row>
    <row r="25" ht="22.35" customHeight="1" s="31">
      <c r="A25" s="50" t="inlineStr">
        <is>
          <t>BUG-24</t>
        </is>
      </c>
      <c r="B25" s="50" t="inlineStr">
        <is>
          <t>P2</t>
        </is>
      </c>
      <c r="C25" s="50" t="inlineStr">
        <is>
          <t>Errors</t>
        </is>
      </c>
      <c r="D25" s="50" t="inlineStr">
        <is>
          <t>Unbranded 404/403 and misleading portal 'expired' page</t>
        </is>
      </c>
      <c r="E25" s="50" t="inlineStr">
        <is>
          <t>Open a bad URL; open /portal/ with no link</t>
        </is>
      </c>
      <c r="F25" s="50" t="inlineStr">
        <is>
          <t>Branded pages with a way home</t>
        </is>
      </c>
      <c r="G25" s="50" t="inlineStr">
        <is>
          <t>Raw 'Not Found'; 403 plain text; portal says link 'expired' though none was used</t>
        </is>
      </c>
      <c r="H25" s="50" t="inlineStr">
        <is>
          <t>Screenshot 04</t>
        </is>
      </c>
      <c r="I25" s="50" t="inlineStr">
        <is>
          <t>Add 404.html/403.html/500.html in the app shell; separate 'invalid link' vs 'expired link' copy</t>
        </is>
      </c>
      <c r="J25" s="50" t="inlineStr">
        <is>
          <t>Fixed – retest after deploy</t>
        </is>
      </c>
      <c r="K25" s="50" t="inlineStr">
        <is>
          <t>G5, R4</t>
        </is>
      </c>
      <c r="L25" s="50" t="inlineStr">
        <is>
          <t>Eng</t>
        </is>
      </c>
      <c r="M25" s="50" t="n"/>
      <c r="N25" s="52" t="inlineStr">
        <is>
          <t>Branded 400/403/404/500; portal distinguishes no link / invalid / used / expired, with 'Request a new link'.</t>
        </is>
      </c>
    </row>
    <row r="26" ht="22.35" customHeight="1" s="31">
      <c r="A26" s="50" t="inlineStr">
        <is>
          <t>BUG-25</t>
        </is>
      </c>
      <c r="B26" s="50" t="inlineStr">
        <is>
          <t>P2</t>
        </is>
      </c>
      <c r="C26" s="50" t="inlineStr">
        <is>
          <t>SEO/meta</t>
        </is>
      </c>
      <c r="D26" s="50" t="inlineStr">
        <is>
          <t>No robots.txt, missing page titles</t>
        </is>
      </c>
      <c r="E26" s="50" t="inlineStr">
        <is>
          <t>Open /robots.txt; check &lt;title&gt;</t>
        </is>
      </c>
      <c r="F26" s="50" t="inlineStr">
        <is>
          <t>robots.txt disallows app; unique titles</t>
        </is>
      </c>
      <c r="G26" s="50" t="inlineStr">
        <is>
          <t>404; 6 pages titled 'SM Bean'</t>
        </is>
      </c>
      <c r="H26" s="50" t="inlineStr">
        <is>
          <t>Crawl table</t>
        </is>
      </c>
      <c r="I26" s="50" t="inlineStr">
        <is>
          <t>Add robots.txt and noindex on app pages; set titles per page with one separator style</t>
        </is>
      </c>
      <c r="J26" s="50" t="inlineStr">
        <is>
          <t>Fixed – retest after deploy</t>
        </is>
      </c>
      <c r="K26" s="50" t="inlineStr">
        <is>
          <t>R5</t>
        </is>
      </c>
      <c r="L26" s="50" t="inlineStr">
        <is>
          <t>Eng</t>
        </is>
      </c>
      <c r="M26" s="50" t="n"/>
      <c r="N26" s="52" t="inlineStr">
        <is>
          <t>robots.txt + sitemap; every page has 'Page · SM Bean' title.</t>
        </is>
      </c>
    </row>
    <row r="27" ht="22.35" customHeight="1" s="31">
      <c r="A27" s="50" t="inlineStr">
        <is>
          <t>BUG-26</t>
        </is>
      </c>
      <c r="B27" s="50" t="inlineStr">
        <is>
          <t>P3</t>
        </is>
      </c>
      <c r="C27" s="50" t="inlineStr">
        <is>
          <t>QA plan</t>
        </is>
      </c>
      <c r="D27" s="50" t="inlineStr">
        <is>
          <t>Plan links point at internal endpoints</t>
        </is>
      </c>
      <c r="E27" s="50" t="inlineStr">
        <is>
          <t>Open /workspace/{ws}/tags/ and /ideas/board/</t>
        </is>
      </c>
      <c r="F27" s="50" t="inlineStr">
        <is>
          <t>Pages</t>
        </is>
      </c>
      <c r="G27" s="50" t="inlineStr">
        <is>
          <t>Raw JSON '[]' and an unstyled HTMX fragment</t>
        </is>
      </c>
      <c r="H27" s="50" t="inlineStr">
        <is>
          <t>Screenshots</t>
        </is>
      </c>
      <c r="I27" s="50" t="inlineStr">
        <is>
          <t>Update plan: Ideas is /workspace/{ws}/create/; tags are managed inside composer</t>
        </is>
      </c>
      <c r="J27" s="50" t="inlineStr">
        <is>
          <t>Plan update</t>
        </is>
      </c>
      <c r="K27" s="50" t="inlineStr">
        <is>
          <t>E11</t>
        </is>
      </c>
      <c r="L27" s="50" t="inlineStr">
        <is>
          <t>QA</t>
        </is>
      </c>
      <c r="M27" s="50" t="n"/>
      <c r="N27" s="52" t="inlineStr">
        <is>
          <t>Ideas live at /workspace/{ws}/create/; tags are managed in the composer (/tags/ is an internal JSON endpoint).</t>
        </is>
      </c>
    </row>
    <row r="28" ht="22.35" customHeight="1" s="31">
      <c r="A28" s="50" t="inlineStr">
        <is>
          <t>BUG-27</t>
        </is>
      </c>
      <c r="B28" s="50" t="inlineStr">
        <is>
          <t>P3</t>
        </is>
      </c>
      <c r="C28" s="50" t="inlineStr">
        <is>
          <t>Copy</t>
        </is>
      </c>
      <c r="D28" s="50" t="inlineStr">
        <is>
          <t>Timezone shown as 'Calcutta'; media times in UTC</t>
        </is>
      </c>
      <c r="E28" s="50" t="inlineStr">
        <is>
          <t>Publish filter; Media detail</t>
        </is>
      </c>
      <c r="F28" s="50" t="inlineStr">
        <is>
          <t>'Kolkata'; workspace time</t>
        </is>
      </c>
      <c r="G28" s="50" t="inlineStr">
        <is>
          <t>'Calcutta (workspace)'; upload time 6:19 AM (UTC) for an 11:49 AM IST upload</t>
        </is>
      </c>
      <c r="H28" s="50" t="inlineStr">
        <is>
          <t>Screenshot 05</t>
        </is>
      </c>
      <c r="I28" s="50" t="inlineStr">
        <is>
          <t>Use current IANA names in labels; render all times in workspace tz</t>
        </is>
      </c>
      <c r="J28" s="50" t="inlineStr">
        <is>
          <t>Fixed – retest after deploy</t>
        </is>
      </c>
      <c r="K28" s="50" t="inlineStr">
        <is>
          <t>C6</t>
        </is>
      </c>
      <c r="L28" s="50" t="inlineStr">
        <is>
          <t>Eng</t>
        </is>
      </c>
      <c r="M28" s="50" t="n"/>
      <c r="N28" s="52" t="inlineStr">
        <is>
          <t>Asia/Calcutta etc. stored/shown as current names (data migration for existing rows); media times in workspace tz.</t>
        </is>
      </c>
    </row>
    <row r="29" ht="43.25" customHeight="1" s="31">
      <c r="A29" s="50" t="inlineStr">
        <is>
          <t>BUG-28</t>
        </is>
      </c>
      <c r="B29" s="50" t="inlineStr">
        <is>
          <t>P2</t>
        </is>
      </c>
      <c r="C29" s="50" t="inlineStr">
        <is>
          <t>Layout</t>
        </is>
      </c>
      <c r="D29" s="50" t="inlineStr">
        <is>
          <t>Media library layout defects</t>
        </is>
      </c>
      <c r="E29" s="50" t="inlineStr">
        <is>
          <t>Open Media library</t>
        </is>
      </c>
      <c r="F29" s="50" t="inlineStr">
        <is>
          <t>Clean layout</t>
        </is>
      </c>
      <c r="G29" s="50" t="inlineStr">
        <is>
          <t>'FOLDERS' heading clipped to 'OLDERS'; Upload button clipped; new upload renders as a full-width giant card until reload; detail drawer overflows off-screen (close X and Delete cut)</t>
        </is>
      </c>
      <c r="H29" s="50" t="inlineStr">
        <is>
          <t>Screenshots 05-06</t>
        </is>
      </c>
      <c r="I29" s="50" t="inlineStr">
        <is>
          <t>Fix container padding/overflow; constrain new card to grid; drawer max-width: 100vw</t>
        </is>
      </c>
      <c r="J29" s="50" t="inlineStr">
        <is>
          <t>Fixed – retest after deploy</t>
        </is>
      </c>
      <c r="K29" s="50" t="n"/>
      <c r="L29" s="50" t="inlineStr">
        <is>
          <t>Eng</t>
        </is>
      </c>
      <c r="M29" s="50" t="n"/>
      <c r="N29" s="52" t="inlineStr">
        <is>
          <t>Header/Upload no longer clipped; polling card never replaced by JSON; drawer fits the viewport (verified desktop + 375 px).</t>
        </is>
      </c>
    </row>
    <row r="30" ht="22.35" customHeight="1" s="31">
      <c r="A30" s="50" t="inlineStr">
        <is>
          <t>BUG-29</t>
        </is>
      </c>
      <c r="B30" s="50" t="inlineStr">
        <is>
          <t>P3</t>
        </is>
      </c>
      <c r="C30" s="50" t="inlineStr">
        <is>
          <t>Navigation</t>
        </is>
      </c>
      <c r="D30" s="50" t="inlineStr">
        <is>
          <t>Wrong active nav item on composer; stray scroll arrows beside Publish tabs</t>
        </is>
      </c>
      <c r="E30" s="50" t="inlineStr">
        <is>
          <t>Open composer; look at Publish tabs</t>
        </is>
      </c>
      <c r="F30" s="50" t="inlineStr">
        <is>
          <t>Correct highlight; no widget</t>
        </is>
      </c>
      <c r="G30" s="50" t="inlineStr">
        <is>
          <t>'Create Idea' highlighted on New Post; tiny up/down scroll control beside 'Sent'</t>
        </is>
      </c>
      <c r="H30" s="50" t="inlineStr">
        <is>
          <t>Screenshot 01/03</t>
        </is>
      </c>
      <c r="I30" s="50" t="inlineStr">
        <is>
          <t>Fix active-route matching; hide tab-row overflow scrollbar</t>
        </is>
      </c>
      <c r="J30" s="50" t="inlineStr">
        <is>
          <t>Fixed – retest after deploy</t>
        </is>
      </c>
      <c r="K30" s="50" t="n"/>
      <c r="L30" s="50" t="inlineStr">
        <is>
          <t>Eng</t>
        </is>
      </c>
      <c r="M30" s="50" t="n"/>
      <c r="N30" s="52" t="inlineStr">
        <is>
          <t>Correct active nav item; tab-row scrollbar hidden.</t>
        </is>
      </c>
    </row>
    <row r="31" ht="32.8" customHeight="1" s="31">
      <c r="A31" s="50" t="inlineStr">
        <is>
          <t>BUG-30</t>
        </is>
      </c>
      <c r="B31" s="50" t="inlineStr">
        <is>
          <t>P2</t>
        </is>
      </c>
      <c r="C31" s="50" t="inlineStr">
        <is>
          <t>Design</t>
        </is>
      </c>
      <c r="D31" s="50" t="inlineStr">
        <is>
          <t>Inconsistent visual language</t>
        </is>
      </c>
      <c r="E31" s="50" t="inlineStr">
        <is>
          <t>Compare login, reset, app, analytics, portal</t>
        </is>
      </c>
      <c r="F31" s="50" t="inlineStr">
        <is>
          <t>One system</t>
        </is>
      </c>
      <c r="G31" s="50" t="inlineStr">
        <is>
          <t>Olive primary on login, orange on reset/app; serif headings on Analytics/portal vs sans elsewhere; three different button styles for primary actions</t>
        </is>
      </c>
      <c r="H31" s="50" t="inlineStr">
        <is>
          <t>Screenshots</t>
        </is>
      </c>
      <c r="I31" s="50" t="inlineStr">
        <is>
          <t>Define tokens (one primary, one type family, 3 button variants) and apply</t>
        </is>
      </c>
      <c r="J31" s="50" t="inlineStr">
        <is>
          <t>Partly fixed</t>
        </is>
      </c>
      <c r="K31" s="50" t="n"/>
      <c r="L31" s="50" t="inlineStr">
        <is>
          <t>Eng / Design</t>
        </is>
      </c>
      <c r="M31" s="50" t="n"/>
      <c r="N31" s="52" t="inlineStr">
        <is>
          <t>One primary colour and button palette; serif display headings on Analytics/portal and a real SM Bean wordmark still need a design pass.</t>
        </is>
      </c>
    </row>
  </sheetData>
  <autoFilter ref="A1:M31"/>
  <conditionalFormatting sqref="B2:B31">
    <cfRule type="cellIs" rank="0" priority="2" equalAverage="0" operator="equal" aboveAverage="0" dxfId="16" text="" percent="0" bottom="0">
      <formula>"P0"</formula>
    </cfRule>
    <cfRule type="cellIs" rank="0" priority="3" equalAverage="0" operator="equal" aboveAverage="0" dxfId="17" text="" percent="0" bottom="0">
      <formula>"P1"</formula>
    </cfRule>
    <cfRule type="cellIs" rank="0" priority="4" equalAverage="0" operator="equal" aboveAverage="0" dxfId="18" text="" percent="0" bottom="0">
      <formula>"P2"</formula>
    </cfRule>
    <cfRule type="cellIs" rank="0" priority="5" equalAverage="0" operator="equal" aboveAverage="0" dxfId="14" text="" percent="0" bottom="0">
      <formula>"P3"</formula>
    </cfRule>
  </conditionalFormatting>
  <dataValidations count="1">
    <dataValidation sqref="J2:J31" showDropDown="0" showInputMessage="0" showErrorMessage="0" allowBlank="0" type="list" errorStyle="stop" operator="between">
      <formula1>"Open,In progress,Fixed,Verified,Won't fix"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0" min="1" max="1"/>
    <col width="18" customWidth="1" style="30" min="2" max="2"/>
    <col width="50" customWidth="1" style="30" min="3" max="3"/>
    <col width="36" customWidth="1" style="30" min="4" max="4"/>
    <col width="55" customWidth="1" style="30" min="5" max="5"/>
    <col width="9" customWidth="1" style="30" min="6" max="6"/>
  </cols>
  <sheetData>
    <row r="1" ht="15" customHeight="1" s="31">
      <c r="A1" s="49" t="inlineStr">
        <is>
          <t>#</t>
        </is>
      </c>
      <c r="B1" s="49" t="inlineStr">
        <is>
          <t>Area</t>
        </is>
      </c>
      <c r="C1" s="49" t="inlineStr">
        <is>
          <t>What we saw</t>
        </is>
      </c>
      <c r="D1" s="49" t="inlineStr">
        <is>
          <t>Why it matters</t>
        </is>
      </c>
      <c r="E1" s="49" t="inlineStr">
        <is>
          <t>Recommendation</t>
        </is>
      </c>
      <c r="F1" s="49" t="inlineStr">
        <is>
          <t>Priority</t>
        </is>
      </c>
    </row>
    <row r="2" ht="32.8" customHeight="1" s="31">
      <c r="A2" s="50" t="n">
        <v>1</v>
      </c>
      <c r="B2" s="50" t="inlineStr">
        <is>
          <t>Brand colour</t>
        </is>
      </c>
      <c r="C2" s="50" t="inlineStr">
        <is>
          <t>Two competing primaries: olive green (#93A240) on login/signup, orange (#F97316) everywhere else, including the password-reset page.</t>
        </is>
      </c>
      <c r="D2" s="50" t="inlineStr">
        <is>
          <t>Feels like two products; weak recognition.</t>
        </is>
      </c>
      <c r="E2" s="50" t="inlineStr">
        <is>
          <t>Pick one primary (keep orange, it owns the app). Use a darker text-safe shade (#C2410C) for text/buttons and the bright orange only for fills and highlights.</t>
        </is>
      </c>
      <c r="F2" s="50" t="inlineStr">
        <is>
          <t>High</t>
        </is>
      </c>
    </row>
    <row r="3" ht="32.8" customHeight="1" s="31">
      <c r="A3" s="50" t="n">
        <v>2</v>
      </c>
      <c r="B3" s="50" t="inlineStr">
        <is>
          <t>Contrast</t>
        </is>
      </c>
      <c r="C3" s="50" t="inlineStr">
        <is>
          <t>Primary buttons and links sit at 2.5-2.8:1.</t>
        </is>
      </c>
      <c r="D3" s="50" t="inlineStr">
        <is>
          <t>Fails WCAG AA; hard to read on phones outdoors — exactly where clients approve posts.</t>
        </is>
      </c>
      <c r="E3" s="50" t="inlineStr">
        <is>
          <t>Darken button backgrounds or switch button text to near-black on light orange. Target ≥4.5:1 for text.</t>
        </is>
      </c>
      <c r="F3" s="50" t="inlineStr">
        <is>
          <t>High</t>
        </is>
      </c>
    </row>
    <row r="4" ht="32.8" customHeight="1" s="31">
      <c r="A4" s="50" t="n">
        <v>3</v>
      </c>
      <c r="B4" s="50" t="inlineStr">
        <is>
          <t>Logo &amp; identity</t>
        </is>
      </c>
      <c r="C4" s="50" t="inlineStr">
        <is>
          <t>Login uses the BrightBean Studio mascot (reads 'STUDIO'); eyebrow 'SM BEAN · STUDIO'. App sidebar shows a plain orange 'M' tile.</t>
        </is>
      </c>
      <c r="D4" s="50" t="inlineStr">
        <is>
          <t>Agencies will notice it is a rebadged product; trust drops.</t>
        </is>
      </c>
      <c r="E4" s="50" t="inlineStr">
        <is>
          <t>Commission a simple SM Bean wordmark + bean icon; use it on login, sidebar, favicon, emails and portal.</t>
        </is>
      </c>
      <c r="F4" s="50" t="inlineStr">
        <is>
          <t>High</t>
        </is>
      </c>
    </row>
    <row r="5" ht="22.35" customHeight="1" s="31">
      <c r="A5" s="50" t="n">
        <v>4</v>
      </c>
      <c r="B5" s="50" t="inlineStr">
        <is>
          <t>Typography</t>
        </is>
      </c>
      <c r="C5" s="50" t="inlineStr">
        <is>
          <t>System UI font in the app; serif display font on Analytics and the portal 'expired' card; raw Times-style 404.</t>
        </is>
      </c>
      <c r="D5" s="50" t="inlineStr">
        <is>
          <t>Inconsistent tone.</t>
        </is>
      </c>
      <c r="E5" s="50" t="inlineStr">
        <is>
          <t>One family (e.g. Inter or Geist) with a 5-step type scale; optional single display face for H1 only.</t>
        </is>
      </c>
      <c r="F5" s="50" t="inlineStr">
        <is>
          <t>Medium</t>
        </is>
      </c>
    </row>
    <row r="6" ht="32.8" customHeight="1" s="31">
      <c r="A6" s="50" t="n">
        <v>5</v>
      </c>
      <c r="B6" s="50" t="inlineStr">
        <is>
          <t>First-run experience</t>
        </is>
      </c>
      <c r="C6" s="50" t="inlineStr">
        <is>
          <t>New user lands on 'Publish' with a generic 'Welcome' illustration; tabs and Calendar are effectively locked; no checklist.</t>
        </is>
      </c>
      <c r="D6" s="50" t="inlineStr">
        <is>
          <t>Day-one agency cannot tell what to do first; high drop-off risk.</t>
        </is>
      </c>
      <c r="E6" s="50" t="inlineStr">
        <is>
          <t>Guided checklist card (Connect → Create post → Invite client → Schedule), progress bar, and a sample 'demo' post so the calendar is never empty.</t>
        </is>
      </c>
      <c r="F6" s="50" t="inlineStr">
        <is>
          <t>High</t>
        </is>
      </c>
    </row>
    <row r="7" ht="22.35" customHeight="1" s="31">
      <c r="A7" s="50" t="n">
        <v>6</v>
      </c>
      <c r="B7" s="50" t="inlineStr">
        <is>
          <t>Empty &amp; error states</t>
        </is>
      </c>
      <c r="C7" s="50" t="inlineStr">
        <is>
          <t>Silent failures (draft save, rejected upload), raw 404/403, 500 as a tiny toast.</t>
        </is>
      </c>
      <c r="D7" s="50" t="inlineStr">
        <is>
          <t>Users lose work without knowing; support load.</t>
        </is>
      </c>
      <c r="E7" s="50" t="inlineStr">
        <is>
          <t>Every write returns a visible result: success toast, inline field error, or a full-page branded error with a next step.</t>
        </is>
      </c>
      <c r="F7" s="50" t="inlineStr">
        <is>
          <t>High</t>
        </is>
      </c>
    </row>
    <row r="8" ht="32.8" customHeight="1" s="31">
      <c r="A8" s="50" t="n">
        <v>7</v>
      </c>
      <c r="B8" s="50" t="inlineStr">
        <is>
          <t>Navigation</t>
        </is>
      </c>
      <c r="C8" s="50" t="inlineStr">
        <is>
          <t>Sidebar mixes actions ('New', 'Create Idea') with places; 'Connect channels' suggests unavailable platforms; wrong active item on composer.</t>
        </is>
      </c>
      <c r="D8" s="50" t="inlineStr">
        <is>
          <t>Orientation cost.</t>
        </is>
      </c>
      <c r="E8" s="50" t="inlineStr">
        <is>
          <t>Group as Plan (Calendar, Ideas) · Engage (Inbox) · Measure (Analytics) · Settings. Move 'Connect channels' into a dismissible setup card.</t>
        </is>
      </c>
      <c r="F8" s="50" t="inlineStr">
        <is>
          <t>Medium</t>
        </is>
      </c>
    </row>
    <row r="9" ht="22.35" customHeight="1" s="31">
      <c r="A9" s="50" t="n">
        <v>8</v>
      </c>
      <c r="B9" s="50" t="inlineStr">
        <is>
          <t>Composer</t>
        </is>
      </c>
      <c r="C9" s="50" t="inlineStr">
        <is>
          <t>Clean two-pane layout with preview (good). But no account picker visible when none connected, only grey 'No accounts connected'.</t>
        </is>
      </c>
      <c r="D9" s="50" t="inlineStr">
        <is>
          <t>Primary task blocked with no guidance.</t>
        </is>
      </c>
      <c r="E9" s="50" t="inlineStr">
        <is>
          <t>Show an account picker row always; when empty, a clear 'Connect your first channel' button inline. Keep Save Draft always available.</t>
        </is>
      </c>
      <c r="F9" s="50" t="inlineStr">
        <is>
          <t>High</t>
        </is>
      </c>
    </row>
    <row r="10" ht="22.35" customHeight="1" s="31">
      <c r="A10" s="50" t="n">
        <v>9</v>
      </c>
      <c r="B10" s="50" t="inlineStr">
        <is>
          <t>Calendar</t>
        </is>
      </c>
      <c r="C10" s="50" t="inlineStr">
        <is>
          <t>Past days rendered in heavy grey, today in orange; legend is clear.</t>
        </is>
      </c>
      <c r="D10" s="50" t="inlineStr">
        <is>
          <t>Past-day grey is heavy and lowers legibility of past posts.</t>
        </is>
      </c>
      <c r="E10" s="50" t="inlineStr">
        <is>
          <t>Lighter past-day tint; show post chips with platform icons and status colour; sticky week header.</t>
        </is>
      </c>
      <c r="F10" s="50" t="inlineStr">
        <is>
          <t>Low</t>
        </is>
      </c>
    </row>
    <row r="11" ht="22.35" customHeight="1" s="31">
      <c r="A11" s="50" t="n">
        <v>10</v>
      </c>
      <c r="B11" s="50" t="inlineStr">
        <is>
          <t>Media library</t>
        </is>
      </c>
      <c r="C11" s="50" t="inlineStr">
        <is>
          <t>Clipped header/upload button, giant card after upload, drawer overflowing viewport, no video thumbnails.</t>
        </is>
      </c>
      <c r="D11" s="50" t="inlineStr">
        <is>
          <t>Looks unfinished.</t>
        </is>
      </c>
      <c r="E11" s="50" t="inlineStr">
        <is>
          <t>Fix grid &amp; drawer sizing, generate thumbnails, add upload progress list.</t>
        </is>
      </c>
      <c r="F11" s="50" t="inlineStr">
        <is>
          <t>Medium</t>
        </is>
      </c>
    </row>
    <row r="12" ht="22.35" customHeight="1" s="31">
      <c r="A12" s="50" t="n">
        <v>11</v>
      </c>
      <c r="B12" s="50" t="inlineStr">
        <is>
          <t>Client portal</t>
        </is>
      </c>
      <c r="C12" s="50" t="inlineStr">
        <is>
          <t>Clean, calm card. Copy says 'expired' for any invalid link.</t>
        </is>
      </c>
      <c r="D12" s="50" t="inlineStr">
        <is>
          <t>Clients may think they missed a deadline.</t>
        </is>
      </c>
      <c r="E12" s="50" t="inlineStr">
        <is>
          <t>Split 'invalid' vs 'expired'; add agency logo and a 'Request a new link' button that notifies the team.</t>
        </is>
      </c>
      <c r="F12" s="50" t="inlineStr">
        <is>
          <t>Medium</t>
        </is>
      </c>
    </row>
    <row r="13" ht="22.35" customHeight="1" s="31">
      <c r="A13" s="50" t="n">
        <v>12</v>
      </c>
      <c r="B13" s="50" t="inlineStr">
        <is>
          <t>Accessibility</t>
        </is>
      </c>
      <c r="C13" s="50" t="inlineStr">
        <is>
          <t>Visible focus on login (good); modals don't trap focus; no dialog roles.</t>
        </is>
      </c>
      <c r="D13" s="50" t="inlineStr">
        <is>
          <t>Keyboard and screen-reader users get lost.</t>
        </is>
      </c>
      <c r="E13" s="50" t="inlineStr">
        <is>
          <t>Adopt one accessible dialog component; run axe in CI.</t>
        </is>
      </c>
      <c r="F13" s="50" t="inlineStr">
        <is>
          <t>Medium</t>
        </is>
      </c>
    </row>
    <row r="14" ht="15" customHeight="1" s="31">
      <c r="A14" s="50" t="n">
        <v>13</v>
      </c>
      <c r="B14" s="50" t="inlineStr">
        <is>
          <t>Microcopy</t>
        </is>
      </c>
      <c r="C14" s="50" t="inlineStr">
        <is>
          <t>'Not Configured' (developer wording); 'Calcutta'; '10+ platforms'.</t>
        </is>
      </c>
      <c r="D14" s="50" t="inlineStr">
        <is>
          <t>Confusing / over-promising.</t>
        </is>
      </c>
      <c r="E14" s="50" t="inlineStr">
        <is>
          <t>'Coming soon', 'Kolkata', and an honest platform list.</t>
        </is>
      </c>
      <c r="F14" s="50" t="inlineStr">
        <is>
          <t>Low</t>
        </is>
      </c>
    </row>
    <row r="15" ht="15" customHeight="1" s="31">
      <c r="A15" s="33" t="n"/>
      <c r="B15" s="33" t="n"/>
      <c r="C15" s="33" t="n"/>
      <c r="D15" s="33" t="n"/>
      <c r="E15" s="33" t="n"/>
      <c r="F15" s="33" t="n"/>
    </row>
    <row r="16" ht="15" customHeight="1" s="31">
      <c r="A16" s="33" t="n"/>
      <c r="B16" s="37" t="inlineStr">
        <is>
          <t>Proposed colour tokens</t>
        </is>
      </c>
      <c r="C16" s="33" t="n"/>
      <c r="D16" s="33" t="n"/>
      <c r="E16" s="33" t="n"/>
      <c r="F16" s="33" t="n"/>
    </row>
    <row r="17" ht="15" customHeight="1" s="31">
      <c r="A17" s="33" t="n"/>
      <c r="B17" s="53" t="inlineStr">
        <is>
          <t>primary-600 (buttons, links)</t>
        </is>
      </c>
      <c r="C17" s="54" t="inlineStr">
        <is>
          <t>#C2410C</t>
        </is>
      </c>
      <c r="D17" s="53" t="inlineStr">
        <is>
          <t>White text 5.2:1</t>
        </is>
      </c>
      <c r="E17" s="33" t="n"/>
      <c r="F17" s="33" t="n"/>
    </row>
    <row r="18" ht="15" customHeight="1" s="31">
      <c r="A18" s="33" t="n"/>
      <c r="B18" s="53" t="inlineStr">
        <is>
          <t>primary-500 (fills, highlights)</t>
        </is>
      </c>
      <c r="C18" s="55" t="inlineStr">
        <is>
          <t>#F97316</t>
        </is>
      </c>
      <c r="D18" s="53" t="inlineStr">
        <is>
          <t>Use behind dark text only</t>
        </is>
      </c>
      <c r="E18" s="33" t="n"/>
      <c r="F18" s="33" t="n"/>
    </row>
    <row r="19" ht="15" customHeight="1" s="31">
      <c r="A19" s="33" t="n"/>
      <c r="B19" s="53" t="inlineStr">
        <is>
          <t>primary-50 (tints)</t>
        </is>
      </c>
      <c r="C19" s="56" t="inlineStr">
        <is>
          <t>#FFF7ED</t>
        </is>
      </c>
      <c r="D19" s="53" t="inlineStr">
        <is>
          <t>Backgrounds, selected rows</t>
        </is>
      </c>
      <c r="E19" s="33" t="n"/>
      <c r="F19" s="33" t="n"/>
    </row>
    <row r="20" ht="15" customHeight="1" s="31">
      <c r="A20" s="33" t="n"/>
      <c r="B20" s="53" t="inlineStr">
        <is>
          <t>ink-900 (body text)</t>
        </is>
      </c>
      <c r="C20" s="57" t="inlineStr">
        <is>
          <t>#1C1917</t>
        </is>
      </c>
      <c r="D20" s="53" t="inlineStr">
        <is>
          <t>17:1 on white</t>
        </is>
      </c>
      <c r="E20" s="33" t="n"/>
      <c r="F20" s="33" t="n"/>
    </row>
    <row r="21" ht="15" customHeight="1" s="31">
      <c r="A21" s="33" t="n"/>
      <c r="B21" s="53" t="inlineStr">
        <is>
          <t>ink-500 (secondary text)</t>
        </is>
      </c>
      <c r="C21" s="58" t="inlineStr">
        <is>
          <t>#57534E</t>
        </is>
      </c>
      <c r="D21" s="53" t="inlineStr">
        <is>
          <t>7.3:1 on #FAFAF9</t>
        </is>
      </c>
      <c r="E21" s="33" t="n"/>
      <c r="F21" s="33" t="n"/>
    </row>
    <row r="22" ht="15" customHeight="1" s="31">
      <c r="A22" s="33" t="n"/>
      <c r="B22" s="53" t="inlineStr">
        <is>
          <t>success</t>
        </is>
      </c>
      <c r="C22" s="59" t="inlineStr">
        <is>
          <t>#15803D</t>
        </is>
      </c>
      <c r="D22" s="53" t="inlineStr">
        <is>
          <t>Published</t>
        </is>
      </c>
      <c r="E22" s="33" t="n"/>
      <c r="F22" s="33" t="n"/>
    </row>
    <row r="23" ht="15" customHeight="1" s="31">
      <c r="A23" s="33" t="n"/>
      <c r="B23" s="53" t="inlineStr">
        <is>
          <t>danger</t>
        </is>
      </c>
      <c r="C23" s="60" t="inlineStr">
        <is>
          <t>#B91C1C</t>
        </is>
      </c>
      <c r="D23" s="53" t="inlineStr">
        <is>
          <t>Failed / delete</t>
        </is>
      </c>
      <c r="E23" s="33" t="n"/>
      <c r="F23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30" min="1" max="1"/>
    <col width="8" customWidth="1" style="30" min="2" max="2"/>
    <col width="70" customWidth="1" style="30" min="3" max="3"/>
  </cols>
  <sheetData>
    <row r="1" ht="15" customHeight="1" s="31">
      <c r="A1" s="49" t="inlineStr">
        <is>
          <t>Exit criterion</t>
        </is>
      </c>
      <c r="B1" s="49" t="inlineStr">
        <is>
          <t>Met?</t>
        </is>
      </c>
      <c r="C1" s="49" t="inlineStr">
        <is>
          <t>Evidence</t>
        </is>
      </c>
    </row>
    <row r="2" ht="15" customHeight="1" s="31">
      <c r="A2" s="50" t="inlineStr">
        <is>
          <t>All pre-conditions ticked</t>
        </is>
      </c>
      <c r="B2" s="61" t="inlineStr">
        <is>
          <t>No</t>
        </is>
      </c>
      <c r="C2" s="50" t="inlineStr">
        <is>
          <t>10 of 12 failed — see PRE-1…PRE-12</t>
        </is>
      </c>
    </row>
    <row r="3" ht="15" customHeight="1" s="31">
      <c r="A3" s="50" t="inlineStr">
        <is>
          <t>P0 smoke passed twice on two deploys</t>
        </is>
      </c>
      <c r="B3" s="61" t="inlineStr">
        <is>
          <t>No</t>
        </is>
      </c>
      <c r="C3" s="50" t="inlineStr">
        <is>
          <t>SMK-3, SMK-6 failed; 7 steps blocked</t>
        </is>
      </c>
    </row>
    <row r="4" ht="15" customHeight="1" s="31">
      <c r="A4" s="50" t="inlineStr">
        <is>
          <t>Zero open P0 and P1 bugs</t>
        </is>
      </c>
      <c r="B4" s="61" t="inlineStr">
        <is>
          <t>No</t>
        </is>
      </c>
      <c r="C4" s="50" t="inlineStr">
        <is>
          <t>See Summary</t>
        </is>
      </c>
    </row>
    <row r="5" ht="15" customHeight="1" s="31">
      <c r="A5" s="50" t="inlineStr">
        <is>
          <t>Sections K, L, M all passed</t>
        </is>
      </c>
      <c r="B5" s="61" t="inlineStr">
        <is>
          <t>No</t>
        </is>
      </c>
      <c r="C5" s="50" t="inlineStr">
        <is>
          <t>L1 and M4 failed; K blocked</t>
        </is>
      </c>
    </row>
    <row r="6" ht="15" customHeight="1" s="31">
      <c r="A6" s="50" t="inlineStr">
        <is>
          <t>Publish success ≥99% (N1), zero duplicates</t>
        </is>
      </c>
      <c r="B6" s="61" t="inlineStr">
        <is>
          <t>No</t>
        </is>
      </c>
      <c r="C6" s="50" t="inlineStr">
        <is>
          <t>Blocked</t>
        </is>
      </c>
    </row>
    <row r="7" ht="15" customHeight="1" s="31">
      <c r="A7" s="50" t="inlineStr">
        <is>
          <t>Worker restart test N3 passed 3×</t>
        </is>
      </c>
      <c r="B7" s="61" t="inlineStr">
        <is>
          <t>No</t>
        </is>
      </c>
      <c r="C7" s="50" t="inlineStr">
        <is>
          <t>Blocked</t>
        </is>
      </c>
    </row>
    <row r="8" ht="15" customHeight="1" s="31">
      <c r="A8" s="50" t="inlineStr">
        <is>
          <t>DB restore O2 proven</t>
        </is>
      </c>
      <c r="B8" s="61" t="inlineStr">
        <is>
          <t>No</t>
        </is>
      </c>
      <c r="C8" s="50" t="inlineStr">
        <is>
          <t>Not run</t>
        </is>
      </c>
    </row>
    <row r="9" ht="15" customHeight="1" s="31">
      <c r="A9" s="50" t="inlineStr">
        <is>
          <t>Transactional emails arrive, not spam</t>
        </is>
      </c>
      <c r="B9" s="61" t="inlineStr">
        <is>
          <t>No</t>
        </is>
      </c>
      <c r="C9" s="50" t="inlineStr">
        <is>
          <t>No SMTP</t>
        </is>
      </c>
    </row>
    <row r="10" ht="15" customHeight="1" s="31">
      <c r="A10" s="50" t="inlineStr">
        <is>
          <t>P2 bugs have owner and date</t>
        </is>
      </c>
      <c r="B10" s="61" t="inlineStr">
        <is>
          <t>No</t>
        </is>
      </c>
      <c r="C10" s="50" t="inlineStr">
        <is>
          <t>Owner/Target columns empty on Bugs tab</t>
        </is>
      </c>
    </row>
    <row r="11" ht="15" customHeight="1" s="31">
      <c r="A11" s="50" t="inlineStr">
        <is>
          <t>Beta testers told which platforms work</t>
        </is>
      </c>
      <c r="B11" s="61" t="inlineStr">
        <is>
          <t>No</t>
        </is>
      </c>
      <c r="C11" s="50" t="inlineStr">
        <is>
          <t>Signup still says 10+ platforms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2026-09-27T06:30:05Z</dcterms:created>
  <dcterms:modified xsi:type="dcterms:W3CDTF">2026-09-27T07:05:05Z</dcterms:modified>
  <cp:revision>0</cp:revision>
</cp:coreProperties>
</file>